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j\Dropbox\HJA BIZ DEV\BOND\"/>
    </mc:Choice>
  </mc:AlternateContent>
  <xr:revisionPtr revIDLastSave="0" documentId="13_ncr:1_{CA362539-500B-4660-8118-FCD84ABA40F1}" xr6:coauthVersionLast="47" xr6:coauthVersionMax="47" xr10:uidLastSave="{00000000-0000-0000-0000-000000000000}"/>
  <bookViews>
    <workbookView xWindow="-108" yWindow="-108" windowWidth="23256" windowHeight="13896" activeTab="2" xr2:uid="{988D6747-F4CF-41F0-B3F5-118701919577}"/>
  </bookViews>
  <sheets>
    <sheet name="MARKETING" sheetId="4" r:id="rId1"/>
    <sheet name="CHANNEL WORKFLOW" sheetId="3" r:id="rId2"/>
    <sheet name="PRICING" sheetId="1" r:id="rId3"/>
  </sheets>
  <definedNames>
    <definedName name="_xlnm.Print_Area" localSheetId="1">'CHANNEL WORKFLOW'!$A$1:$N$80</definedName>
    <definedName name="_xlnm.Print_Area" localSheetId="2">PRICING!$S$87:$AO$121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1" l="1"/>
  <c r="L78" i="1" s="1"/>
  <c r="L81" i="1" s="1"/>
  <c r="L70" i="1"/>
  <c r="L77" i="1" s="1"/>
  <c r="L80" i="1" s="1"/>
  <c r="H71" i="1"/>
  <c r="H78" i="1" s="1"/>
  <c r="H81" i="1" s="1"/>
  <c r="H70" i="1"/>
  <c r="H77" i="1" s="1"/>
  <c r="H80" i="1" s="1"/>
  <c r="J40" i="1"/>
  <c r="N39" i="1"/>
  <c r="J39" i="1"/>
  <c r="J70" i="1" s="1"/>
  <c r="J77" i="1" s="1"/>
  <c r="J80" i="1" s="1"/>
  <c r="Q80" i="1" l="1"/>
  <c r="H73" i="1"/>
  <c r="L74" i="1"/>
  <c r="H74" i="1"/>
  <c r="J73" i="1"/>
  <c r="L73" i="1"/>
  <c r="J71" i="1"/>
  <c r="Q71" i="1" s="1"/>
  <c r="Q77" i="1"/>
  <c r="N70" i="1"/>
  <c r="N73" i="1" s="1"/>
  <c r="Q70" i="1"/>
  <c r="Q73" i="1" l="1"/>
  <c r="R73" i="1"/>
  <c r="J78" i="1"/>
  <c r="J74" i="1"/>
  <c r="Q74" i="1" s="1"/>
  <c r="N77" i="1"/>
  <c r="R70" i="1"/>
  <c r="R77" i="1" l="1"/>
  <c r="N80" i="1"/>
  <c r="R80" i="1" s="1"/>
  <c r="Q78" i="1"/>
  <c r="J81" i="1"/>
  <c r="Q81" i="1" s="1"/>
  <c r="N44" i="1" l="1"/>
  <c r="J44" i="1"/>
  <c r="A53" i="4"/>
  <c r="A52" i="4"/>
  <c r="A51" i="4"/>
  <c r="A50" i="4"/>
  <c r="A49" i="4"/>
  <c r="A48" i="4"/>
  <c r="A47" i="4"/>
  <c r="A46" i="4"/>
  <c r="N57" i="1" l="1"/>
  <c r="N63" i="1" s="1"/>
  <c r="L44" i="1"/>
  <c r="J45" i="1"/>
  <c r="J46" i="1" s="1"/>
  <c r="J47" i="1" s="1"/>
  <c r="J48" i="1" s="1"/>
  <c r="J54" i="1" s="1"/>
  <c r="N50" i="1" l="1"/>
  <c r="R44" i="1"/>
  <c r="L50" i="1"/>
  <c r="J57" i="1"/>
  <c r="J63" i="1" s="1"/>
  <c r="J58" i="1"/>
  <c r="J59" i="1"/>
  <c r="J65" i="1" s="1"/>
  <c r="J60" i="1"/>
  <c r="J66" i="1" s="1"/>
  <c r="J61" i="1"/>
  <c r="J67" i="1" s="1"/>
  <c r="L57" i="1"/>
  <c r="L63" i="1" s="1"/>
  <c r="J50" i="1"/>
  <c r="J51" i="1"/>
  <c r="J52" i="1"/>
  <c r="J53" i="1"/>
  <c r="R57" i="1" l="1"/>
  <c r="J64" i="1"/>
  <c r="H44" i="1" l="1"/>
  <c r="Q44" i="1" s="1"/>
  <c r="N41" i="1"/>
  <c r="N40" i="1"/>
  <c r="L41" i="1"/>
  <c r="L45" i="1"/>
  <c r="H45" i="1"/>
  <c r="H57" i="1" l="1"/>
  <c r="H50" i="1"/>
  <c r="Q50" i="1" s="1"/>
  <c r="N45" i="1"/>
  <c r="N71" i="1"/>
  <c r="N74" i="1" s="1"/>
  <c r="R74" i="1" s="1"/>
  <c r="H63" i="1"/>
  <c r="Q63" i="1" s="1"/>
  <c r="Q57" i="1"/>
  <c r="N58" i="1"/>
  <c r="N51" i="1"/>
  <c r="N46" i="1"/>
  <c r="R45" i="1"/>
  <c r="Q45" i="1"/>
  <c r="L58" i="1"/>
  <c r="L64" i="1" s="1"/>
  <c r="L51" i="1"/>
  <c r="L46" i="1"/>
  <c r="R63" i="1"/>
  <c r="R50" i="1"/>
  <c r="H51" i="1"/>
  <c r="Q51" i="1" s="1"/>
  <c r="H58" i="1"/>
  <c r="Q58" i="1" s="1"/>
  <c r="H46" i="1"/>
  <c r="R51" i="1" l="1"/>
  <c r="N78" i="1"/>
  <c r="R71" i="1"/>
  <c r="H47" i="1"/>
  <c r="Q46" i="1"/>
  <c r="L59" i="1"/>
  <c r="L65" i="1" s="1"/>
  <c r="L52" i="1"/>
  <c r="L47" i="1"/>
  <c r="N59" i="1"/>
  <c r="N52" i="1"/>
  <c r="R52" i="1" s="1"/>
  <c r="N47" i="1"/>
  <c r="R46" i="1"/>
  <c r="N64" i="1"/>
  <c r="R64" i="1" s="1"/>
  <c r="R58" i="1"/>
  <c r="H64" i="1"/>
  <c r="Q64" i="1" s="1"/>
  <c r="H59" i="1"/>
  <c r="Q59" i="1" s="1"/>
  <c r="H52" i="1"/>
  <c r="Q52" i="1" s="1"/>
  <c r="R78" i="1" l="1"/>
  <c r="N81" i="1"/>
  <c r="R81" i="1" s="1"/>
  <c r="N60" i="1"/>
  <c r="N53" i="1"/>
  <c r="N48" i="1"/>
  <c r="R47" i="1"/>
  <c r="L60" i="1"/>
  <c r="L66" i="1" s="1"/>
  <c r="L53" i="1"/>
  <c r="L48" i="1"/>
  <c r="N65" i="1"/>
  <c r="R59" i="1"/>
  <c r="Q47" i="1"/>
  <c r="H48" i="1"/>
  <c r="H60" i="1"/>
  <c r="H53" i="1"/>
  <c r="Q53" i="1" s="1"/>
  <c r="H65" i="1"/>
  <c r="Q65" i="1" s="1"/>
  <c r="R65" i="1"/>
  <c r="H66" i="1" l="1"/>
  <c r="Q66" i="1" s="1"/>
  <c r="Q60" i="1"/>
  <c r="L61" i="1"/>
  <c r="L67" i="1" s="1"/>
  <c r="L54" i="1"/>
  <c r="N61" i="1"/>
  <c r="N54" i="1"/>
  <c r="R48" i="1"/>
  <c r="Q48" i="1"/>
  <c r="H61" i="1"/>
  <c r="H54" i="1"/>
  <c r="Q54" i="1" s="1"/>
  <c r="R53" i="1"/>
  <c r="N66" i="1"/>
  <c r="R66" i="1" s="1"/>
  <c r="R60" i="1"/>
  <c r="R54" i="1" l="1"/>
  <c r="Q61" i="1"/>
  <c r="H67" i="1"/>
  <c r="Q67" i="1" s="1"/>
  <c r="N67" i="1"/>
  <c r="R67" i="1" s="1"/>
  <c r="R61" i="1"/>
</calcChain>
</file>

<file path=xl/sharedStrings.xml><?xml version="1.0" encoding="utf-8"?>
<sst xmlns="http://schemas.openxmlformats.org/spreadsheetml/2006/main" count="649" uniqueCount="280">
  <si>
    <t>With "20% OFF" promo code</t>
  </si>
  <si>
    <t># Members</t>
  </si>
  <si>
    <t>13-Month Multi Member</t>
  </si>
  <si>
    <t>Per Month Multi Member</t>
  </si>
  <si>
    <t>Via Video, Audio, and Text</t>
  </si>
  <si>
    <t>Trained and Certified</t>
  </si>
  <si>
    <t>Coordinate First Responders</t>
  </si>
  <si>
    <t>Schedule Security Checks</t>
  </si>
  <si>
    <t>Track Me On The Go</t>
  </si>
  <si>
    <t>Track My Walk</t>
  </si>
  <si>
    <t>Ready An Agent</t>
  </si>
  <si>
    <t>Video Monitor Me</t>
  </si>
  <si>
    <t>VIEW LOVED ONES' REAL-TIME LOCATION</t>
  </si>
  <si>
    <t>Keep an eye on the real-time location of your loved ones who are also Bond members</t>
  </si>
  <si>
    <t>Real-Time Location</t>
  </si>
  <si>
    <t>Unlimited Friends + Family</t>
  </si>
  <si>
    <t>Alerts If Permissions Change</t>
  </si>
  <si>
    <t>ALERTS WHEN LOVED ONES ARRIVE/DEPART</t>
  </si>
  <si>
    <t>Receive alerts when your loved ones arrive or depart key places</t>
  </si>
  <si>
    <t>Custom Places</t>
  </si>
  <si>
    <t>Unlimited Real-Time Alerts</t>
  </si>
  <si>
    <t>URGENT TOOLS</t>
  </si>
  <si>
    <t>Tools to support you in time-sensitive situations</t>
  </si>
  <si>
    <t>Turn Your Phone Into A Siren</t>
  </si>
  <si>
    <t>Fast Dial 911</t>
  </si>
  <si>
    <t>24/7 LIVE SECURITY AGENTS</t>
  </si>
  <si>
    <t>MONTHLY</t>
  </si>
  <si>
    <t>ANNUAL</t>
  </si>
  <si>
    <t>Personal Security Agents specially trained to support you in a wide variety of security situations</t>
  </si>
  <si>
    <t>MONITORS YOU &amp; FAMILY ON DEMAND</t>
  </si>
  <si>
    <t>Sophisticated algorithms keep an eye on you and loved ones, with security agents ready to step in when needed</t>
  </si>
  <si>
    <t>Arrange a variety of third-party services for members in stressful situations (extra costs apply)</t>
  </si>
  <si>
    <t>BOND ARRANGES BODYGUARDS, CARS, &amp; MORE*</t>
  </si>
  <si>
    <t>Physical Bodyguards</t>
  </si>
  <si>
    <t>Cars To Pick You Up</t>
  </si>
  <si>
    <t>Roadside Assistance</t>
  </si>
  <si>
    <t>Telemedicine</t>
  </si>
  <si>
    <t>FOR INTERNAL USE ONLY</t>
  </si>
  <si>
    <t>Discount</t>
  </si>
  <si>
    <t>Premium</t>
  </si>
  <si>
    <t>Ultimate</t>
  </si>
  <si>
    <t>GUARDIAN</t>
  </si>
  <si>
    <t>SENTRY</t>
  </si>
  <si>
    <t>BOND PRICING MATRIX</t>
  </si>
  <si>
    <t>No consumer sweepstakes</t>
  </si>
  <si>
    <t>Audio</t>
  </si>
  <si>
    <t>Podcast \ YT</t>
  </si>
  <si>
    <t>Channel</t>
  </si>
  <si>
    <t>Adalane</t>
  </si>
  <si>
    <t>Influencer</t>
  </si>
  <si>
    <t>Targeting</t>
  </si>
  <si>
    <t>Empowered Female</t>
  </si>
  <si>
    <t>Guarded Senior</t>
  </si>
  <si>
    <t>Concerned Traveler</t>
  </si>
  <si>
    <t>Paid Social</t>
  </si>
  <si>
    <t>Media</t>
  </si>
  <si>
    <t>:60 live reads</t>
  </si>
  <si>
    <t>:30 pre-produced spots</t>
  </si>
  <si>
    <t>Social Posts</t>
  </si>
  <si>
    <t xml:space="preserve">Creative </t>
  </si>
  <si>
    <t>Script :30</t>
  </si>
  <si>
    <t>Copy Points</t>
  </si>
  <si>
    <t>Paid Search</t>
  </si>
  <si>
    <t>Paid Social (Meta \ TT \ Reddit \ etc….)</t>
  </si>
  <si>
    <t>Paid Search (AI \ Google)</t>
  </si>
  <si>
    <t>Keyword Bids</t>
  </si>
  <si>
    <t>Creative Production</t>
  </si>
  <si>
    <t>Vendor</t>
  </si>
  <si>
    <t>Image Library</t>
  </si>
  <si>
    <t>Linear TV</t>
  </si>
  <si>
    <t>Produced Interview</t>
  </si>
  <si>
    <t>Various</t>
  </si>
  <si>
    <t>:60 TV ad</t>
  </si>
  <si>
    <t>Programmatic Display</t>
  </si>
  <si>
    <t>Copy Points :60</t>
  </si>
  <si>
    <t>Paid Social (Meta \ TT \ Reddit \ Pinterest\ etc….)</t>
  </si>
  <si>
    <t>Judicial \ Legislative</t>
  </si>
  <si>
    <t>Business Leaders</t>
  </si>
  <si>
    <t>M35-55, takes care of wife, kids, parents</t>
  </si>
  <si>
    <t>"Empowered Female"</t>
  </si>
  <si>
    <t>W25-55, single women or head of household</t>
  </si>
  <si>
    <t>"Guarded Senior"</t>
  </si>
  <si>
    <t>A55+, worries about being safe as they become less independent</t>
  </si>
  <si>
    <t>"Concerned Traveler"</t>
  </si>
  <si>
    <t>A25-64, travel constantly, and aware of safety issues away from primary location</t>
  </si>
  <si>
    <t>Audience Targeting</t>
  </si>
  <si>
    <t>B2C</t>
  </si>
  <si>
    <t>"Judicial \ Legislative"</t>
  </si>
  <si>
    <t>B2B</t>
  </si>
  <si>
    <t>"Business Leaders"</t>
  </si>
  <si>
    <t>C-Suite execs who can influence organizational policy to protect employees</t>
  </si>
  <si>
    <t>Government employees, people with ability to produce\enact\influence legislation in local community to protect citizens</t>
  </si>
  <si>
    <t>Audio, Podcasts, Influencer, Paid Social, Paid Search, Programmatic Display, Linear TV</t>
  </si>
  <si>
    <t>Paid Social, Paid Search, Programmatic Display</t>
  </si>
  <si>
    <t>Type</t>
  </si>
  <si>
    <t>Description</t>
  </si>
  <si>
    <t>Possible Media Options</t>
  </si>
  <si>
    <t>Display</t>
  </si>
  <si>
    <t>Display Ads</t>
  </si>
  <si>
    <t>IAB  Ad sizes</t>
  </si>
  <si>
    <t>IAB Ad Sizes</t>
  </si>
  <si>
    <t>Timing</t>
  </si>
  <si>
    <t>Podcasts</t>
  </si>
  <si>
    <t>Step 1</t>
  </si>
  <si>
    <t>Step 2</t>
  </si>
  <si>
    <t>Step 3</t>
  </si>
  <si>
    <t>Step 4</t>
  </si>
  <si>
    <t>Step 5</t>
  </si>
  <si>
    <t>Step 6</t>
  </si>
  <si>
    <t>Contract with OR</t>
  </si>
  <si>
    <t>Contract with Adalane</t>
  </si>
  <si>
    <t>Finalize Copy Points\Offer</t>
  </si>
  <si>
    <t>Develop Creative Assets</t>
  </si>
  <si>
    <t>Test Media to Make Sure UX \ UI flow and attribution is correct</t>
  </si>
  <si>
    <t>Set Media Live</t>
  </si>
  <si>
    <t>Analyze \ Optimize</t>
  </si>
  <si>
    <t>Step 7</t>
  </si>
  <si>
    <t>Meet with Host \ Personalities</t>
  </si>
  <si>
    <t>BOND MARKETING MATRIX</t>
  </si>
  <si>
    <t>Audience</t>
  </si>
  <si>
    <t>B2I - Investor</t>
  </si>
  <si>
    <t>B2B - Business Leaders</t>
  </si>
  <si>
    <t>Consumer</t>
  </si>
  <si>
    <t>Purpose</t>
  </si>
  <si>
    <t>Invest in OBAI</t>
  </si>
  <si>
    <t>Employee Purchase \ Benefit</t>
  </si>
  <si>
    <t>Community Improvement</t>
  </si>
  <si>
    <t>Personal Safety</t>
  </si>
  <si>
    <t>Sale Type</t>
  </si>
  <si>
    <t>Stock</t>
  </si>
  <si>
    <t>1: Many</t>
  </si>
  <si>
    <t>1:1 Adoption</t>
  </si>
  <si>
    <t>Status</t>
  </si>
  <si>
    <t>Live 2/04</t>
  </si>
  <si>
    <t>Priority - accelerate efforts</t>
  </si>
  <si>
    <t>Test into acceptabel CAC</t>
  </si>
  <si>
    <t>How to Read</t>
  </si>
  <si>
    <t>Justin to execute</t>
  </si>
  <si>
    <t>Wouldn’t recommend spend against</t>
  </si>
  <si>
    <t>Paid Media</t>
  </si>
  <si>
    <t>Criteria</t>
  </si>
  <si>
    <t>TAM Reach</t>
  </si>
  <si>
    <t>Low</t>
  </si>
  <si>
    <t>High</t>
  </si>
  <si>
    <t>TAM Targeting</t>
  </si>
  <si>
    <t>Media Type</t>
  </si>
  <si>
    <t>Business News Networks</t>
  </si>
  <si>
    <t>News Programming</t>
  </si>
  <si>
    <t>Crime\Mystery Programming</t>
  </si>
  <si>
    <t>Creative/ Content</t>
  </si>
  <si>
    <t>:30 or :60 ads</t>
  </si>
  <si>
    <t>Streaming</t>
  </si>
  <si>
    <t>Business News Networks + Apps</t>
  </si>
  <si>
    <t>Audio (Radio + Podcasts)</t>
  </si>
  <si>
    <t>Medium</t>
  </si>
  <si>
    <t>Business News Progamming + Podcasts</t>
  </si>
  <si>
    <t>News Progamming + Podcasts</t>
  </si>
  <si>
    <t>News/Talk Radio + True Crime Podcasts</t>
  </si>
  <si>
    <t>:60 Live Reads</t>
  </si>
  <si>
    <t>:60 Live Reads + :30 Produced Spots</t>
  </si>
  <si>
    <t>OOH</t>
  </si>
  <si>
    <t>Low (Upscale Geographies)</t>
  </si>
  <si>
    <t>Standard OOH Assets</t>
  </si>
  <si>
    <t>Static + Digital Billboards</t>
  </si>
  <si>
    <t>Print</t>
  </si>
  <si>
    <t>Investor Publications</t>
  </si>
  <si>
    <t>Corporate Publications</t>
  </si>
  <si>
    <t>Judicial \ Legislative Publications</t>
  </si>
  <si>
    <t>Various Publcations (based on target)</t>
  </si>
  <si>
    <t>Print pages + digital extensions</t>
  </si>
  <si>
    <t>Investor Websites</t>
  </si>
  <si>
    <t>Political Websites</t>
  </si>
  <si>
    <t>Varios Websites (based on target)</t>
  </si>
  <si>
    <t>Display ads (Static + Rich Media)</t>
  </si>
  <si>
    <t>Social (Meta \ YT \ TT \ LinkedIn)</t>
  </si>
  <si>
    <t>Audience Profiling</t>
  </si>
  <si>
    <t>Images or Video posts</t>
  </si>
  <si>
    <t>High (based on target)</t>
  </si>
  <si>
    <t>Bidding</t>
  </si>
  <si>
    <t>Images</t>
  </si>
  <si>
    <t>MMC Relationship</t>
  </si>
  <si>
    <t>MMC Strength</t>
  </si>
  <si>
    <t>Low (SBG - :60 Interview Ads + Golf)</t>
  </si>
  <si>
    <t>High (Various LPs :30 ads)</t>
  </si>
  <si>
    <t>Low (A+E)</t>
  </si>
  <si>
    <t>No Assets</t>
  </si>
  <si>
    <t>Low (SBG Station Websites)</t>
  </si>
  <si>
    <t>Low (First Media)</t>
  </si>
  <si>
    <t>Non Paid Media</t>
  </si>
  <si>
    <t>PR</t>
  </si>
  <si>
    <t>X</t>
  </si>
  <si>
    <t>Trade Shows</t>
  </si>
  <si>
    <t>Newsletters</t>
  </si>
  <si>
    <t>Direct Sales Efforts</t>
  </si>
  <si>
    <t>Lobbying</t>
  </si>
  <si>
    <t>DEFENDER</t>
  </si>
  <si>
    <t>Celebrities/politicians/wealthy have personal security, but we can’t afford it and can’t call “911” if there’s no emergency</t>
  </si>
  <si>
    <t>If the ones we love don’t feel safe, what can we do?</t>
  </si>
  <si>
    <t>Designed with you in mind, BOND’s AI-based personal security is now available to everyone</t>
  </si>
  <si>
    <t>Empowers you to live your life safely and securely, either at home or on the go</t>
  </si>
  <si>
    <t>App on your phone so it’s with you 24/7/365</t>
  </si>
  <si>
    <t>One-tap access gets you to a command center with dedicated personal security agents in less than 5 seconds</t>
  </si>
  <si>
    <t>1M+ interactions with agents including emergencies and life saving situations</t>
  </si>
  <si>
    <t>World getting more violent and increasingly we feel unsafe living our daily lives</t>
  </si>
  <si>
    <t>PAIN</t>
  </si>
  <si>
    <t>SOLUTION</t>
  </si>
  <si>
    <t>Messaging Strategy</t>
  </si>
  <si>
    <t>Tactical B2C Media: Oxford Rd</t>
  </si>
  <si>
    <t>Tactical B2C Media: Adalane</t>
  </si>
  <si>
    <t>Tactical B2C Media: MMC</t>
  </si>
  <si>
    <t>Tactical B2B Marketing: Adalane</t>
  </si>
  <si>
    <t>Segment</t>
  </si>
  <si>
    <t>Influencer \ YT</t>
  </si>
  <si>
    <t>Copy Points \ Images</t>
  </si>
  <si>
    <t>Copy Points \ Images \ Video</t>
  </si>
  <si>
    <t>Bond \ Dailywire</t>
  </si>
  <si>
    <t>Engagements Per Month (per person)</t>
  </si>
  <si>
    <t>Order of Operations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</si>
  <si>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</si>
  <si>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</si>
  <si>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</si>
  <si>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</si>
  <si>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</si>
  <si>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</si>
  <si>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</si>
  <si>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</si>
  <si>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</si>
  <si>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</si>
  <si>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Optimize\Invest</t>
  </si>
  <si>
    <t>Social\Search\Display</t>
  </si>
  <si>
    <t>Launch \ Test</t>
  </si>
  <si>
    <t>MMC TV</t>
  </si>
  <si>
    <t>Launch\Spend</t>
  </si>
  <si>
    <t>Spend</t>
  </si>
  <si>
    <t>Judicial\Legislative</t>
  </si>
  <si>
    <t>You're the family protector, how would you feel if a family member is assaulted or threatened?...are you doing what's needed to protect their safety</t>
  </si>
  <si>
    <t>Evergreen</t>
  </si>
  <si>
    <t>Evergreen \ Universal</t>
  </si>
  <si>
    <t>Do you feel safe walking alone at night, walking from shopping to your car, taking mass transit, just living your life?</t>
  </si>
  <si>
    <t>As you get older, do you feel it's getting harder to protect yourself, do you feel safe outside at night walking around?</t>
  </si>
  <si>
    <t>You love to travel, but when you do, you're a target for those who would take advantage of you, and you're outside of the laws of the USA.</t>
  </si>
  <si>
    <t>"Male Protector"</t>
  </si>
  <si>
    <t>Male Protector</t>
  </si>
  <si>
    <t>Male Protector + Empowered Female</t>
  </si>
  <si>
    <t>RESPONSIBILITIES</t>
  </si>
  <si>
    <t>1st Priority</t>
  </si>
  <si>
    <t>2nd Priority</t>
  </si>
  <si>
    <t>3rd Priority</t>
  </si>
  <si>
    <t>4th Priority</t>
  </si>
  <si>
    <t>Identify Hosts</t>
  </si>
  <si>
    <t>Provide 30-day Trial</t>
  </si>
  <si>
    <t>Production Shoot</t>
  </si>
  <si>
    <t>Optimize app for conversion</t>
  </si>
  <si>
    <t>Agree on messaging/pricing/ free trial</t>
  </si>
  <si>
    <t>Audit journey</t>
  </si>
  <si>
    <t>Contract with OxforRd</t>
  </si>
  <si>
    <t>Adalane \ OxforRd technical set up</t>
  </si>
  <si>
    <t>PLUMBING</t>
  </si>
  <si>
    <t>BOND CHANNEL WORKFLOW</t>
  </si>
  <si>
    <t>Source New Hosts\Optimize\Invest</t>
  </si>
  <si>
    <t>Plan: "Family (each additional, up to five family members total)"</t>
  </si>
  <si>
    <t>Start with 20% OFF offer</t>
  </si>
  <si>
    <t>13-Month Individual</t>
  </si>
  <si>
    <t>13-Month Family</t>
  </si>
  <si>
    <t>30-day risk free trial period</t>
  </si>
  <si>
    <t>ADVERTISED TO CONSUMER</t>
  </si>
  <si>
    <t>Per Month Individual</t>
  </si>
  <si>
    <t>Per Month Family</t>
  </si>
  <si>
    <t>þ</t>
  </si>
  <si>
    <t>FREE</t>
  </si>
  <si>
    <t>Annual Savings</t>
  </si>
  <si>
    <t>PROTECTION PLAN</t>
  </si>
  <si>
    <t>Personal</t>
  </si>
  <si>
    <t>Family (up to 5 members)</t>
  </si>
  <si>
    <t>DIGITAL</t>
  </si>
  <si>
    <t>PODCAST</t>
  </si>
  <si>
    <t>YOUTUBE</t>
  </si>
  <si>
    <t>AGGREGATE</t>
  </si>
  <si>
    <t>COA =         BREAKEVEN =                          LTV=</t>
  </si>
  <si>
    <t>COA =           BREAKEVEN =                          LTV=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</si>
</sst>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Wingdings"/>
      <charset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3C7A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FCC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0" fontId="2" fillId="0" borderId="0" xfId="0" applyFont="1"/>
    <xf numFmtId="0" fontId="0" fillId="2" borderId="0" xfId="0" applyFill="1"/>
    <xf numFmtId="0" fontId="2" fillId="0" borderId="7" xfId="0" applyFont="1" applyBorder="1"/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8" xfId="0" applyFill="1" applyBorder="1"/>
    <xf numFmtId="0" fontId="3" fillId="3" borderId="8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0" xfId="0" applyFill="1"/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/>
    </xf>
    <xf numFmtId="0" fontId="0" fillId="3" borderId="4" xfId="0" applyFill="1" applyBorder="1"/>
    <xf numFmtId="0" fontId="0" fillId="3" borderId="0" xfId="0" applyFill="1" applyAlignment="1">
      <alignment horizontal="right"/>
    </xf>
    <xf numFmtId="0" fontId="0" fillId="3" borderId="5" xfId="0" applyFill="1" applyBorder="1"/>
    <xf numFmtId="0" fontId="0" fillId="3" borderId="7" xfId="0" applyFill="1" applyBorder="1"/>
    <xf numFmtId="0" fontId="2" fillId="3" borderId="4" xfId="0" applyFont="1" applyFill="1" applyBorder="1"/>
    <xf numFmtId="165" fontId="0" fillId="0" borderId="0" xfId="2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4" borderId="0" xfId="0" applyFill="1"/>
    <xf numFmtId="0" fontId="0" fillId="0" borderId="9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0" fillId="0" borderId="0" xfId="0" applyFont="1"/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8" xfId="0" applyBorder="1"/>
    <xf numFmtId="0" fontId="0" fillId="13" borderId="0" xfId="0" applyFill="1" applyAlignment="1">
      <alignment horizontal="left" vertical="center"/>
    </xf>
    <xf numFmtId="0" fontId="13" fillId="12" borderId="1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3" fillId="12" borderId="13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4" fillId="12" borderId="11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4" fillId="12" borderId="13" xfId="0" applyFont="1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4" fillId="12" borderId="14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6" borderId="0" xfId="0" applyFill="1" applyAlignment="1">
      <alignment vertical="center"/>
    </xf>
    <xf numFmtId="0" fontId="0" fillId="9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12" borderId="0" xfId="0" applyFill="1" applyAlignment="1">
      <alignment vertical="center"/>
    </xf>
    <xf numFmtId="0" fontId="2" fillId="0" borderId="9" xfId="0" applyFont="1" applyBorder="1"/>
    <xf numFmtId="0" fontId="0" fillId="0" borderId="9" xfId="0" applyBorder="1" applyAlignment="1">
      <alignment horizontal="left" vertical="center"/>
    </xf>
    <xf numFmtId="0" fontId="0" fillId="7" borderId="0" xfId="0" applyFill="1"/>
    <xf numFmtId="0" fontId="7" fillId="7" borderId="7" xfId="0" applyFont="1" applyFill="1" applyBorder="1"/>
    <xf numFmtId="0" fontId="2" fillId="15" borderId="0" xfId="0" applyFont="1" applyFill="1"/>
    <xf numFmtId="0" fontId="7" fillId="16" borderId="0" xfId="0" applyFont="1" applyFill="1"/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5" fillId="17" borderId="9" xfId="0" applyFont="1" applyFill="1" applyBorder="1" applyAlignment="1">
      <alignment horizontal="center"/>
    </xf>
    <xf numFmtId="0" fontId="15" fillId="18" borderId="9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9" xfId="0" applyFont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2" fillId="11" borderId="0" xfId="0" applyFont="1" applyFill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0" fontId="0" fillId="0" borderId="14" xfId="0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15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6" fillId="0" borderId="0" xfId="0" applyFont="1"/>
    <xf numFmtId="0" fontId="11" fillId="0" borderId="0" xfId="0" applyFont="1"/>
    <xf numFmtId="0" fontId="15" fillId="21" borderId="9" xfId="0" applyFont="1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0" fillId="9" borderId="0" xfId="0" applyFill="1"/>
    <xf numFmtId="0" fontId="2" fillId="3" borderId="1" xfId="0" applyFont="1" applyFill="1" applyBorder="1"/>
    <xf numFmtId="0" fontId="2" fillId="3" borderId="8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7" xfId="0" applyFont="1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3" borderId="0" xfId="0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0" fillId="3" borderId="6" xfId="0" applyFill="1" applyBorder="1"/>
    <xf numFmtId="164" fontId="0" fillId="0" borderId="3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8" fillId="3" borderId="4" xfId="0" applyFont="1" applyFill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9" fontId="2" fillId="3" borderId="7" xfId="0" applyNumberFormat="1" applyFont="1" applyFill="1" applyBorder="1" applyAlignment="1">
      <alignment horizontal="right"/>
    </xf>
    <xf numFmtId="9" fontId="2" fillId="3" borderId="6" xfId="0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4" xfId="0" applyFont="1" applyFill="1" applyBorder="1" applyAlignment="1">
      <alignment horizontal="center"/>
    </xf>
    <xf numFmtId="164" fontId="5" fillId="3" borderId="3" xfId="1" applyNumberFormat="1" applyFont="1" applyFill="1" applyBorder="1" applyAlignment="1">
      <alignment horizontal="right"/>
    </xf>
    <xf numFmtId="164" fontId="5" fillId="3" borderId="0" xfId="1" applyNumberFormat="1" applyFont="1" applyFill="1" applyBorder="1" applyAlignment="1">
      <alignment horizontal="right"/>
    </xf>
    <xf numFmtId="164" fontId="5" fillId="3" borderId="5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164" fontId="5" fillId="3" borderId="4" xfId="1" applyNumberFormat="1" applyFont="1" applyFill="1" applyBorder="1" applyAlignment="1">
      <alignment horizontal="right"/>
    </xf>
    <xf numFmtId="0" fontId="2" fillId="3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 wrapText="1"/>
    </xf>
    <xf numFmtId="0" fontId="2" fillId="0" borderId="9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2" fillId="12" borderId="0" xfId="0" applyFont="1" applyFill="1" applyAlignment="1">
      <alignment horizontal="center"/>
    </xf>
    <xf numFmtId="0" fontId="0" fillId="13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9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12" borderId="0" xfId="0" applyFill="1" applyAlignment="1">
      <alignment horizontal="left" vertic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0" borderId="19" xfId="0" applyFont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16" fillId="6" borderId="9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10" borderId="12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5" fillId="17" borderId="12" xfId="0" applyFont="1" applyFill="1" applyBorder="1" applyAlignment="1">
      <alignment horizontal="center"/>
    </xf>
    <xf numFmtId="0" fontId="15" fillId="17" borderId="10" xfId="0" applyFont="1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18" borderId="0" xfId="0" applyFont="1" applyFill="1" applyAlignment="1">
      <alignment horizontal="center" vertical="center"/>
    </xf>
    <xf numFmtId="0" fontId="17" fillId="3" borderId="9" xfId="0" applyFont="1" applyFill="1" applyBorder="1" applyAlignment="1">
      <alignment horizontal="left" vertical="center" wrapText="1"/>
    </xf>
    <xf numFmtId="0" fontId="17" fillId="6" borderId="9" xfId="0" applyFont="1" applyFill="1" applyBorder="1" applyAlignment="1">
      <alignment horizontal="left" vertical="center" wrapText="1"/>
    </xf>
    <xf numFmtId="0" fontId="17" fillId="22" borderId="9" xfId="0" applyFont="1" applyFill="1" applyBorder="1" applyAlignment="1">
      <alignment horizontal="left" vertical="center" wrapText="1"/>
    </xf>
    <xf numFmtId="0" fontId="17" fillId="5" borderId="9" xfId="0" applyFont="1" applyFill="1" applyBorder="1" applyAlignment="1">
      <alignment horizontal="left" vertical="center" wrapText="1"/>
    </xf>
    <xf numFmtId="0" fontId="17" fillId="9" borderId="9" xfId="0" applyFont="1" applyFill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  <color rgb="FF996600"/>
      <color rgb="FFE3C7AB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2407920</xdr:colOff>
      <xdr:row>88</xdr:row>
      <xdr:rowOff>53340</xdr:rowOff>
    </xdr:from>
    <xdr:to>
      <xdr:col>16</xdr:col>
      <xdr:colOff>189471</xdr:colOff>
      <xdr:row>95</xdr:row>
      <xdr:rowOff>96127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708CF8-03A7-0B33-543F-F746BD6CE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9120" y="16786860"/>
          <a:ext cx="5706351" cy="1322947"/>
        </a:xfrm>
        <a:prstGeom prst="rect">
          <a:avLst/>
        </a:prstGeom>
      </xdr:spPr>
    </xdr:pic>
    <xdr:clientData/>
  </xdr:twoCellAnchor>
  <xdr:twoCellAnchor>
    <xdr:from>
      <xdr:col>18</xdr:col>
      <xdr:colOff>76200</xdr:colOff>
      <xdr:row>102</xdr:row>
      <xdr:rowOff>68580</xdr:rowOff>
    </xdr:from>
    <xdr:to>
      <xdr:col>40</xdr:col>
      <xdr:colOff>563880</xdr:colOff>
      <xdr:row>104</xdr:row>
      <xdr:rowOff>114300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30F276FE-FDE9-13D3-A276-CBDCE4CEB9C7}"/>
            </a:ext>
          </a:extLst>
        </xdr:cNvPr>
        <xdr:cNvSpPr/>
      </xdr:nvSpPr>
      <xdr:spPr>
        <a:xfrm rot="5400000">
          <a:off x="14889480" y="14470380"/>
          <a:ext cx="411480" cy="12969240"/>
        </a:xfrm>
        <a:prstGeom prst="rightBrace">
          <a:avLst/>
        </a:prstGeom>
        <a:ln w="571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FCBF-0B0F-45F6-B99B-E39DE8989348}">
  <dimension ref="A1:J60"/>
  <sheetViews>
    <sheetView topLeftCell="A7" workbookViewId="0">
      <selection activeCell="A12" sqref="A12:A15"/>
    </sheetView>
  </sheetViews>
  <sheetFormatPr defaultRowHeight="14.4" x14ac:dyDescent="0.3"/>
  <cols>
    <col min="1" max="1" width="26.88671875" customWidth="1"/>
    <col min="2" max="2" width="15.77734375" customWidth="1"/>
    <col min="3" max="6" width="35.77734375" customWidth="1"/>
    <col min="7" max="9" width="25.77734375" customWidth="1"/>
    <col min="10" max="14" width="19.77734375" customWidth="1"/>
  </cols>
  <sheetData>
    <row r="1" spans="1:10" ht="21" x14ac:dyDescent="0.4">
      <c r="A1" s="21" t="s">
        <v>118</v>
      </c>
    </row>
    <row r="4" spans="1:10" x14ac:dyDescent="0.3">
      <c r="A4" s="3" t="s">
        <v>119</v>
      </c>
      <c r="C4" s="30" t="s">
        <v>120</v>
      </c>
      <c r="D4" s="30" t="s">
        <v>121</v>
      </c>
      <c r="E4" s="30" t="s">
        <v>76</v>
      </c>
      <c r="F4" s="30" t="s">
        <v>122</v>
      </c>
      <c r="G4" s="1"/>
      <c r="H4" s="1"/>
      <c r="I4" s="1"/>
      <c r="J4" s="1"/>
    </row>
    <row r="5" spans="1:10" x14ac:dyDescent="0.3">
      <c r="A5" s="3" t="s">
        <v>123</v>
      </c>
      <c r="B5" s="3"/>
      <c r="C5" s="30" t="s">
        <v>124</v>
      </c>
      <c r="D5" s="30" t="s">
        <v>125</v>
      </c>
      <c r="E5" s="30" t="s">
        <v>126</v>
      </c>
      <c r="F5" s="30" t="s">
        <v>127</v>
      </c>
      <c r="G5" s="1"/>
      <c r="H5" s="1"/>
      <c r="I5" s="1"/>
      <c r="J5" s="1"/>
    </row>
    <row r="6" spans="1:10" x14ac:dyDescent="0.3">
      <c r="A6" s="3" t="s">
        <v>128</v>
      </c>
      <c r="B6" s="3"/>
      <c r="C6" s="31" t="s">
        <v>129</v>
      </c>
      <c r="D6" s="31" t="s">
        <v>130</v>
      </c>
      <c r="E6" s="31" t="s">
        <v>130</v>
      </c>
      <c r="F6" s="31" t="s">
        <v>131</v>
      </c>
      <c r="G6" s="1"/>
      <c r="H6" s="1"/>
      <c r="I6" s="1"/>
      <c r="J6" s="1"/>
    </row>
    <row r="7" spans="1:10" x14ac:dyDescent="0.3">
      <c r="A7" s="3" t="s">
        <v>132</v>
      </c>
      <c r="B7" s="3"/>
      <c r="C7" s="32" t="s">
        <v>133</v>
      </c>
      <c r="D7" s="32" t="s">
        <v>134</v>
      </c>
      <c r="E7" s="32" t="s">
        <v>134</v>
      </c>
      <c r="F7" s="32" t="s">
        <v>135</v>
      </c>
      <c r="G7" s="1"/>
      <c r="H7" s="1"/>
      <c r="I7" s="1"/>
      <c r="J7" s="1"/>
    </row>
    <row r="9" spans="1:10" x14ac:dyDescent="0.3">
      <c r="A9" s="3" t="s">
        <v>136</v>
      </c>
      <c r="C9" s="141" t="s">
        <v>137</v>
      </c>
      <c r="D9" s="142"/>
      <c r="E9" s="132" t="s">
        <v>138</v>
      </c>
      <c r="F9" s="132"/>
    </row>
    <row r="10" spans="1:10" x14ac:dyDescent="0.3">
      <c r="C10" s="33"/>
      <c r="D10" s="33"/>
    </row>
    <row r="11" spans="1:10" x14ac:dyDescent="0.3">
      <c r="A11" s="3" t="s">
        <v>139</v>
      </c>
      <c r="B11" s="3" t="s">
        <v>140</v>
      </c>
    </row>
    <row r="12" spans="1:10" x14ac:dyDescent="0.3">
      <c r="A12" s="133" t="s">
        <v>69</v>
      </c>
      <c r="B12" t="s">
        <v>141</v>
      </c>
      <c r="C12" s="25" t="s">
        <v>142</v>
      </c>
      <c r="D12" s="25" t="s">
        <v>142</v>
      </c>
      <c r="E12" s="35" t="s">
        <v>142</v>
      </c>
      <c r="F12" s="25" t="s">
        <v>143</v>
      </c>
    </row>
    <row r="13" spans="1:10" x14ac:dyDescent="0.3">
      <c r="A13" s="133"/>
      <c r="B13" t="s">
        <v>144</v>
      </c>
      <c r="C13" s="36" t="s">
        <v>142</v>
      </c>
      <c r="D13" s="36" t="s">
        <v>142</v>
      </c>
      <c r="E13" s="37" t="s">
        <v>142</v>
      </c>
      <c r="F13" s="36" t="s">
        <v>143</v>
      </c>
    </row>
    <row r="14" spans="1:10" x14ac:dyDescent="0.3">
      <c r="A14" s="133"/>
      <c r="B14" t="s">
        <v>145</v>
      </c>
      <c r="C14" s="36" t="s">
        <v>146</v>
      </c>
      <c r="D14" s="36" t="s">
        <v>146</v>
      </c>
      <c r="E14" s="37" t="s">
        <v>147</v>
      </c>
      <c r="F14" s="36" t="s">
        <v>148</v>
      </c>
    </row>
    <row r="15" spans="1:10" x14ac:dyDescent="0.3">
      <c r="A15" s="133"/>
      <c r="B15" t="s">
        <v>149</v>
      </c>
      <c r="C15" s="36" t="s">
        <v>150</v>
      </c>
      <c r="D15" s="36" t="s">
        <v>150</v>
      </c>
      <c r="E15" s="37" t="s">
        <v>150</v>
      </c>
      <c r="F15" s="36" t="s">
        <v>150</v>
      </c>
    </row>
    <row r="16" spans="1:10" x14ac:dyDescent="0.3">
      <c r="A16" s="134" t="s">
        <v>151</v>
      </c>
      <c r="B16" t="s">
        <v>141</v>
      </c>
      <c r="C16" s="25" t="s">
        <v>142</v>
      </c>
      <c r="D16" s="25" t="s">
        <v>142</v>
      </c>
      <c r="E16" s="35" t="s">
        <v>142</v>
      </c>
      <c r="F16" s="25" t="s">
        <v>143</v>
      </c>
    </row>
    <row r="17" spans="1:6" x14ac:dyDescent="0.3">
      <c r="A17" s="134"/>
      <c r="B17" t="s">
        <v>144</v>
      </c>
      <c r="C17" s="36" t="s">
        <v>142</v>
      </c>
      <c r="D17" s="36" t="s">
        <v>142</v>
      </c>
      <c r="E17" s="37" t="s">
        <v>142</v>
      </c>
      <c r="F17" s="36" t="s">
        <v>143</v>
      </c>
    </row>
    <row r="18" spans="1:6" x14ac:dyDescent="0.3">
      <c r="A18" s="134"/>
      <c r="B18" t="s">
        <v>145</v>
      </c>
      <c r="C18" s="36" t="s">
        <v>152</v>
      </c>
      <c r="D18" s="36" t="s">
        <v>152</v>
      </c>
      <c r="E18" s="37" t="s">
        <v>147</v>
      </c>
      <c r="F18" s="36" t="s">
        <v>148</v>
      </c>
    </row>
    <row r="19" spans="1:6" x14ac:dyDescent="0.3">
      <c r="A19" s="134"/>
      <c r="B19" t="s">
        <v>149</v>
      </c>
      <c r="C19" s="36" t="s">
        <v>150</v>
      </c>
      <c r="D19" s="36" t="s">
        <v>150</v>
      </c>
      <c r="E19" s="37" t="s">
        <v>150</v>
      </c>
      <c r="F19" s="36" t="s">
        <v>150</v>
      </c>
    </row>
    <row r="20" spans="1:6" ht="14.4" customHeight="1" x14ac:dyDescent="0.3">
      <c r="A20" s="135" t="s">
        <v>153</v>
      </c>
      <c r="B20" t="s">
        <v>141</v>
      </c>
      <c r="C20" s="25" t="s">
        <v>142</v>
      </c>
      <c r="D20" s="25" t="s">
        <v>142</v>
      </c>
      <c r="E20" s="35" t="s">
        <v>142</v>
      </c>
      <c r="F20" s="25" t="s">
        <v>143</v>
      </c>
    </row>
    <row r="21" spans="1:6" x14ac:dyDescent="0.3">
      <c r="A21" s="135"/>
      <c r="B21" t="s">
        <v>144</v>
      </c>
      <c r="C21" s="36" t="s">
        <v>142</v>
      </c>
      <c r="D21" s="36" t="s">
        <v>154</v>
      </c>
      <c r="E21" s="37" t="s">
        <v>142</v>
      </c>
      <c r="F21" s="36" t="s">
        <v>143</v>
      </c>
    </row>
    <row r="22" spans="1:6" x14ac:dyDescent="0.3">
      <c r="A22" s="135"/>
      <c r="B22" t="s">
        <v>145</v>
      </c>
      <c r="C22" s="36" t="s">
        <v>152</v>
      </c>
      <c r="D22" s="36" t="s">
        <v>155</v>
      </c>
      <c r="E22" s="37" t="s">
        <v>156</v>
      </c>
      <c r="F22" s="36" t="s">
        <v>157</v>
      </c>
    </row>
    <row r="23" spans="1:6" x14ac:dyDescent="0.3">
      <c r="A23" s="135"/>
      <c r="B23" t="s">
        <v>149</v>
      </c>
      <c r="C23" s="36" t="s">
        <v>158</v>
      </c>
      <c r="D23" s="36" t="s">
        <v>159</v>
      </c>
      <c r="E23" s="37" t="s">
        <v>159</v>
      </c>
      <c r="F23" s="36" t="s">
        <v>159</v>
      </c>
    </row>
    <row r="24" spans="1:6" x14ac:dyDescent="0.3">
      <c r="A24" s="136" t="s">
        <v>160</v>
      </c>
      <c r="B24" t="s">
        <v>141</v>
      </c>
      <c r="C24" s="35" t="s">
        <v>142</v>
      </c>
      <c r="D24" s="35" t="s">
        <v>142</v>
      </c>
      <c r="E24" s="35" t="s">
        <v>142</v>
      </c>
      <c r="F24" s="35" t="s">
        <v>143</v>
      </c>
    </row>
    <row r="25" spans="1:6" x14ac:dyDescent="0.3">
      <c r="A25" s="136"/>
      <c r="B25" t="s">
        <v>144</v>
      </c>
      <c r="C25" s="37" t="s">
        <v>161</v>
      </c>
      <c r="D25" s="37" t="s">
        <v>161</v>
      </c>
      <c r="E25" s="37" t="s">
        <v>161</v>
      </c>
      <c r="F25" s="37" t="s">
        <v>154</v>
      </c>
    </row>
    <row r="26" spans="1:6" x14ac:dyDescent="0.3">
      <c r="A26" s="136"/>
      <c r="B26" t="s">
        <v>145</v>
      </c>
      <c r="C26" s="37" t="s">
        <v>162</v>
      </c>
      <c r="D26" s="37" t="s">
        <v>162</v>
      </c>
      <c r="E26" s="37" t="s">
        <v>162</v>
      </c>
      <c r="F26" s="37" t="s">
        <v>162</v>
      </c>
    </row>
    <row r="27" spans="1:6" x14ac:dyDescent="0.3">
      <c r="A27" s="136"/>
      <c r="B27" t="s">
        <v>149</v>
      </c>
      <c r="C27" s="37" t="s">
        <v>163</v>
      </c>
      <c r="D27" s="37" t="s">
        <v>163</v>
      </c>
      <c r="E27" s="37" t="s">
        <v>163</v>
      </c>
      <c r="F27" s="37" t="s">
        <v>163</v>
      </c>
    </row>
    <row r="28" spans="1:6" x14ac:dyDescent="0.3">
      <c r="A28" s="137" t="s">
        <v>164</v>
      </c>
      <c r="B28" t="s">
        <v>141</v>
      </c>
      <c r="C28" s="35" t="s">
        <v>142</v>
      </c>
      <c r="D28" s="35" t="s">
        <v>142</v>
      </c>
      <c r="E28" s="25" t="s">
        <v>142</v>
      </c>
      <c r="F28" s="35" t="s">
        <v>142</v>
      </c>
    </row>
    <row r="29" spans="1:6" x14ac:dyDescent="0.3">
      <c r="A29" s="137"/>
      <c r="B29" t="s">
        <v>144</v>
      </c>
      <c r="C29" s="37" t="s">
        <v>143</v>
      </c>
      <c r="D29" s="37" t="s">
        <v>143</v>
      </c>
      <c r="E29" s="36" t="s">
        <v>154</v>
      </c>
      <c r="F29" s="37" t="s">
        <v>154</v>
      </c>
    </row>
    <row r="30" spans="1:6" x14ac:dyDescent="0.3">
      <c r="A30" s="137"/>
      <c r="B30" t="s">
        <v>145</v>
      </c>
      <c r="C30" s="37" t="s">
        <v>165</v>
      </c>
      <c r="D30" s="37" t="s">
        <v>166</v>
      </c>
      <c r="E30" s="36" t="s">
        <v>167</v>
      </c>
      <c r="F30" s="37" t="s">
        <v>168</v>
      </c>
    </row>
    <row r="31" spans="1:6" x14ac:dyDescent="0.3">
      <c r="A31" s="137"/>
      <c r="B31" t="s">
        <v>149</v>
      </c>
      <c r="C31" s="37" t="s">
        <v>169</v>
      </c>
      <c r="D31" s="37" t="s">
        <v>169</v>
      </c>
      <c r="E31" s="36" t="s">
        <v>169</v>
      </c>
      <c r="F31" s="37" t="s">
        <v>169</v>
      </c>
    </row>
    <row r="32" spans="1:6" x14ac:dyDescent="0.3">
      <c r="A32" s="138" t="s">
        <v>97</v>
      </c>
      <c r="B32" t="s">
        <v>141</v>
      </c>
      <c r="C32" s="38" t="s">
        <v>142</v>
      </c>
      <c r="D32" s="38" t="s">
        <v>142</v>
      </c>
      <c r="E32" s="39" t="s">
        <v>142</v>
      </c>
      <c r="F32" s="39" t="s">
        <v>143</v>
      </c>
    </row>
    <row r="33" spans="1:6" x14ac:dyDescent="0.3">
      <c r="A33" s="138"/>
      <c r="B33" t="s">
        <v>144</v>
      </c>
      <c r="C33" s="40" t="s">
        <v>143</v>
      </c>
      <c r="D33" s="40" t="s">
        <v>143</v>
      </c>
      <c r="E33" s="41" t="s">
        <v>154</v>
      </c>
      <c r="F33" s="41" t="s">
        <v>143</v>
      </c>
    </row>
    <row r="34" spans="1:6" x14ac:dyDescent="0.3">
      <c r="A34" s="138"/>
      <c r="B34" t="s">
        <v>145</v>
      </c>
      <c r="C34" s="40" t="s">
        <v>170</v>
      </c>
      <c r="D34" s="40" t="s">
        <v>170</v>
      </c>
      <c r="E34" s="41" t="s">
        <v>171</v>
      </c>
      <c r="F34" s="41" t="s">
        <v>172</v>
      </c>
    </row>
    <row r="35" spans="1:6" x14ac:dyDescent="0.3">
      <c r="A35" s="138"/>
      <c r="B35" t="s">
        <v>149</v>
      </c>
      <c r="C35" s="40" t="s">
        <v>173</v>
      </c>
      <c r="D35" s="40" t="s">
        <v>173</v>
      </c>
      <c r="E35" s="41" t="s">
        <v>173</v>
      </c>
      <c r="F35" s="41" t="s">
        <v>173</v>
      </c>
    </row>
    <row r="36" spans="1:6" ht="14.4" customHeight="1" x14ac:dyDescent="0.3">
      <c r="A36" s="139" t="s">
        <v>174</v>
      </c>
      <c r="B36" t="s">
        <v>141</v>
      </c>
      <c r="C36" s="38" t="s">
        <v>142</v>
      </c>
      <c r="D36" s="38" t="s">
        <v>142</v>
      </c>
      <c r="E36" s="39" t="s">
        <v>142</v>
      </c>
      <c r="F36" s="38" t="s">
        <v>143</v>
      </c>
    </row>
    <row r="37" spans="1:6" x14ac:dyDescent="0.3">
      <c r="A37" s="139"/>
      <c r="B37" t="s">
        <v>144</v>
      </c>
      <c r="C37" s="40" t="s">
        <v>142</v>
      </c>
      <c r="D37" s="40" t="s">
        <v>154</v>
      </c>
      <c r="E37" s="41" t="s">
        <v>142</v>
      </c>
      <c r="F37" s="40" t="s">
        <v>143</v>
      </c>
    </row>
    <row r="38" spans="1:6" x14ac:dyDescent="0.3">
      <c r="A38" s="139"/>
      <c r="B38" t="s">
        <v>145</v>
      </c>
      <c r="C38" s="40" t="s">
        <v>175</v>
      </c>
      <c r="D38" s="40" t="s">
        <v>175</v>
      </c>
      <c r="E38" s="41" t="s">
        <v>175</v>
      </c>
      <c r="F38" s="40" t="s">
        <v>175</v>
      </c>
    </row>
    <row r="39" spans="1:6" x14ac:dyDescent="0.3">
      <c r="A39" s="139"/>
      <c r="B39" t="s">
        <v>149</v>
      </c>
      <c r="C39" s="40" t="s">
        <v>176</v>
      </c>
      <c r="D39" s="40" t="s">
        <v>176</v>
      </c>
      <c r="E39" s="41" t="s">
        <v>176</v>
      </c>
      <c r="F39" s="40" t="s">
        <v>176</v>
      </c>
    </row>
    <row r="40" spans="1:6" x14ac:dyDescent="0.3">
      <c r="A40" s="140" t="s">
        <v>62</v>
      </c>
      <c r="B40" t="s">
        <v>141</v>
      </c>
      <c r="C40" s="38" t="s">
        <v>142</v>
      </c>
      <c r="D40" s="38" t="s">
        <v>142</v>
      </c>
      <c r="E40" s="39" t="s">
        <v>142</v>
      </c>
      <c r="F40" s="38" t="s">
        <v>143</v>
      </c>
    </row>
    <row r="41" spans="1:6" x14ac:dyDescent="0.3">
      <c r="A41" s="140"/>
      <c r="B41" t="s">
        <v>144</v>
      </c>
      <c r="C41" s="40" t="s">
        <v>143</v>
      </c>
      <c r="D41" s="40" t="s">
        <v>143</v>
      </c>
      <c r="E41" s="41" t="s">
        <v>142</v>
      </c>
      <c r="F41" s="40" t="s">
        <v>177</v>
      </c>
    </row>
    <row r="42" spans="1:6" x14ac:dyDescent="0.3">
      <c r="A42" s="140"/>
      <c r="B42" t="s">
        <v>145</v>
      </c>
      <c r="C42" s="40" t="s">
        <v>178</v>
      </c>
      <c r="D42" s="40" t="s">
        <v>178</v>
      </c>
      <c r="E42" s="41" t="s">
        <v>178</v>
      </c>
      <c r="F42" s="40" t="s">
        <v>178</v>
      </c>
    </row>
    <row r="43" spans="1:6" x14ac:dyDescent="0.3">
      <c r="A43" s="140"/>
      <c r="B43" t="s">
        <v>149</v>
      </c>
      <c r="C43" s="42" t="s">
        <v>179</v>
      </c>
      <c r="D43" s="42" t="s">
        <v>179</v>
      </c>
      <c r="E43" s="43" t="s">
        <v>179</v>
      </c>
      <c r="F43" s="42" t="s">
        <v>179</v>
      </c>
    </row>
    <row r="45" spans="1:6" x14ac:dyDescent="0.3">
      <c r="A45" s="44" t="s">
        <v>180</v>
      </c>
      <c r="C45" s="1"/>
      <c r="D45" s="1"/>
      <c r="E45" s="1"/>
    </row>
    <row r="46" spans="1:6" x14ac:dyDescent="0.3">
      <c r="A46" s="34" t="str">
        <f>+A12</f>
        <v>Linear TV</v>
      </c>
      <c r="B46" t="s">
        <v>181</v>
      </c>
      <c r="C46" s="23" t="s">
        <v>182</v>
      </c>
      <c r="D46" s="23" t="s">
        <v>182</v>
      </c>
      <c r="E46" s="23" t="s">
        <v>182</v>
      </c>
      <c r="F46" s="23" t="s">
        <v>183</v>
      </c>
    </row>
    <row r="47" spans="1:6" x14ac:dyDescent="0.3">
      <c r="A47" s="45" t="str">
        <f>+A16</f>
        <v>Streaming</v>
      </c>
      <c r="B47" t="s">
        <v>181</v>
      </c>
      <c r="C47" s="23" t="s">
        <v>184</v>
      </c>
      <c r="D47" s="23" t="s">
        <v>184</v>
      </c>
      <c r="E47" s="23" t="s">
        <v>184</v>
      </c>
      <c r="F47" s="23" t="s">
        <v>184</v>
      </c>
    </row>
    <row r="48" spans="1:6" x14ac:dyDescent="0.3">
      <c r="A48" s="46" t="str">
        <f>+A20</f>
        <v>Audio (Radio + Podcasts)</v>
      </c>
      <c r="B48" t="s">
        <v>181</v>
      </c>
      <c r="C48" s="23" t="s">
        <v>185</v>
      </c>
      <c r="D48" s="23" t="s">
        <v>185</v>
      </c>
      <c r="E48" s="23" t="s">
        <v>185</v>
      </c>
      <c r="F48" s="23" t="s">
        <v>185</v>
      </c>
    </row>
    <row r="49" spans="1:6" x14ac:dyDescent="0.3">
      <c r="A49" s="47" t="str">
        <f>+A24</f>
        <v>OOH</v>
      </c>
      <c r="B49" t="s">
        <v>181</v>
      </c>
      <c r="C49" s="23" t="s">
        <v>185</v>
      </c>
      <c r="D49" s="23" t="s">
        <v>185</v>
      </c>
      <c r="E49" s="23" t="s">
        <v>185</v>
      </c>
      <c r="F49" s="23" t="s">
        <v>185</v>
      </c>
    </row>
    <row r="50" spans="1:6" x14ac:dyDescent="0.3">
      <c r="A50" s="48" t="str">
        <f>+A28</f>
        <v>Print</v>
      </c>
      <c r="B50" t="s">
        <v>181</v>
      </c>
      <c r="C50" s="23" t="s">
        <v>185</v>
      </c>
      <c r="D50" s="23" t="s">
        <v>185</v>
      </c>
      <c r="E50" s="23" t="s">
        <v>185</v>
      </c>
      <c r="F50" s="23" t="s">
        <v>185</v>
      </c>
    </row>
    <row r="51" spans="1:6" x14ac:dyDescent="0.3">
      <c r="A51" s="49" t="str">
        <f>+A32</f>
        <v>Display</v>
      </c>
      <c r="B51" t="s">
        <v>181</v>
      </c>
      <c r="C51" s="23" t="s">
        <v>186</v>
      </c>
      <c r="D51" s="23" t="s">
        <v>186</v>
      </c>
      <c r="E51" s="23" t="s">
        <v>186</v>
      </c>
      <c r="F51" s="23" t="s">
        <v>186</v>
      </c>
    </row>
    <row r="52" spans="1:6" x14ac:dyDescent="0.3">
      <c r="A52" s="50" t="str">
        <f>+A36</f>
        <v>Social (Meta \ YT \ TT \ LinkedIn)</v>
      </c>
      <c r="B52" t="s">
        <v>181</v>
      </c>
      <c r="C52" s="23" t="s">
        <v>185</v>
      </c>
      <c r="D52" s="23" t="s">
        <v>185</v>
      </c>
      <c r="E52" s="23" t="s">
        <v>185</v>
      </c>
      <c r="F52" s="23" t="s">
        <v>187</v>
      </c>
    </row>
    <row r="53" spans="1:6" x14ac:dyDescent="0.3">
      <c r="A53" s="51" t="str">
        <f>+A40</f>
        <v>Paid Search</v>
      </c>
      <c r="B53" t="s">
        <v>181</v>
      </c>
      <c r="C53" s="23" t="s">
        <v>185</v>
      </c>
      <c r="D53" s="23" t="s">
        <v>185</v>
      </c>
      <c r="E53" s="23" t="s">
        <v>185</v>
      </c>
      <c r="F53" s="23" t="s">
        <v>185</v>
      </c>
    </row>
    <row r="54" spans="1:6" x14ac:dyDescent="0.3">
      <c r="A54" s="27"/>
      <c r="C54" s="1"/>
      <c r="D54" s="1"/>
      <c r="E54" s="1"/>
    </row>
    <row r="55" spans="1:6" x14ac:dyDescent="0.3">
      <c r="A55" s="3" t="s">
        <v>188</v>
      </c>
    </row>
    <row r="56" spans="1:6" x14ac:dyDescent="0.3">
      <c r="A56" t="s">
        <v>189</v>
      </c>
      <c r="C56" s="30" t="s">
        <v>190</v>
      </c>
      <c r="D56" s="30" t="s">
        <v>190</v>
      </c>
      <c r="E56" s="30" t="s">
        <v>190</v>
      </c>
      <c r="F56" s="30" t="s">
        <v>190</v>
      </c>
    </row>
    <row r="57" spans="1:6" x14ac:dyDescent="0.3">
      <c r="A57" t="s">
        <v>191</v>
      </c>
      <c r="C57" s="30" t="s">
        <v>190</v>
      </c>
      <c r="D57" s="30" t="s">
        <v>190</v>
      </c>
      <c r="E57" s="30" t="s">
        <v>190</v>
      </c>
      <c r="F57" s="52"/>
    </row>
    <row r="58" spans="1:6" x14ac:dyDescent="0.3">
      <c r="A58" t="s">
        <v>192</v>
      </c>
      <c r="C58" s="30" t="s">
        <v>190</v>
      </c>
      <c r="D58" s="30" t="s">
        <v>190</v>
      </c>
      <c r="E58" s="30" t="s">
        <v>190</v>
      </c>
      <c r="F58" s="52"/>
    </row>
    <row r="59" spans="1:6" x14ac:dyDescent="0.3">
      <c r="A59" t="s">
        <v>193</v>
      </c>
      <c r="C59" s="30" t="s">
        <v>190</v>
      </c>
      <c r="D59" s="30" t="s">
        <v>190</v>
      </c>
      <c r="E59" s="30" t="s">
        <v>190</v>
      </c>
      <c r="F59" s="52"/>
    </row>
    <row r="60" spans="1:6" x14ac:dyDescent="0.3">
      <c r="A60" t="s">
        <v>194</v>
      </c>
      <c r="C60" s="30" t="s">
        <v>190</v>
      </c>
      <c r="D60" s="30" t="s">
        <v>190</v>
      </c>
      <c r="E60" s="30" t="s">
        <v>190</v>
      </c>
      <c r="F60" s="52"/>
    </row>
  </sheetData>
  <mergeCells count="10">
    <mergeCell ref="A28:A31"/>
    <mergeCell ref="A32:A35"/>
    <mergeCell ref="A36:A39"/>
    <mergeCell ref="A40:A43"/>
    <mergeCell ref="C9:D9"/>
    <mergeCell ref="E9:F9"/>
    <mergeCell ref="A12:A15"/>
    <mergeCell ref="A16:A19"/>
    <mergeCell ref="A20:A23"/>
    <mergeCell ref="A24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72F-CA28-4283-A955-B9ED6DBACDC3}">
  <sheetPr>
    <pageSetUpPr fitToPage="1"/>
  </sheetPr>
  <dimension ref="A1:N81"/>
  <sheetViews>
    <sheetView workbookViewId="0">
      <selection activeCell="A10" sqref="A10"/>
    </sheetView>
  </sheetViews>
  <sheetFormatPr defaultRowHeight="14.4" x14ac:dyDescent="0.3"/>
  <cols>
    <col min="1" max="1" width="21.44140625" customWidth="1"/>
    <col min="2" max="2" width="11.5546875" customWidth="1"/>
    <col min="3" max="3" width="19.77734375" style="1" bestFit="1" customWidth="1"/>
    <col min="4" max="4" width="18.109375" style="1" customWidth="1"/>
    <col min="5" max="5" width="17" style="1" bestFit="1" customWidth="1"/>
    <col min="6" max="6" width="16.77734375" style="1" bestFit="1" customWidth="1"/>
    <col min="7" max="7" width="18.33203125" style="1" customWidth="1"/>
    <col min="8" max="8" width="17" style="1" bestFit="1" customWidth="1"/>
    <col min="9" max="9" width="16.77734375" style="1" bestFit="1" customWidth="1"/>
    <col min="10" max="10" width="16.77734375" bestFit="1" customWidth="1"/>
    <col min="11" max="11" width="13.5546875" customWidth="1"/>
    <col min="12" max="12" width="17" bestFit="1" customWidth="1"/>
    <col min="13" max="13" width="13.5546875" bestFit="1" customWidth="1"/>
    <col min="14" max="14" width="16.77734375" bestFit="1" customWidth="1"/>
  </cols>
  <sheetData>
    <row r="1" spans="1:13" ht="23.4" x14ac:dyDescent="0.45">
      <c r="A1" s="28" t="s">
        <v>258</v>
      </c>
    </row>
    <row r="3" spans="1:13" x14ac:dyDescent="0.3">
      <c r="A3" s="65" t="s">
        <v>101</v>
      </c>
      <c r="E3"/>
    </row>
    <row r="4" spans="1:13" ht="15" thickBot="1" x14ac:dyDescent="0.35">
      <c r="A4" s="67" t="s">
        <v>55</v>
      </c>
      <c r="B4" s="67" t="s">
        <v>211</v>
      </c>
      <c r="C4" s="66"/>
      <c r="D4" s="66" t="s">
        <v>218</v>
      </c>
      <c r="E4" s="66" t="s">
        <v>219</v>
      </c>
      <c r="F4" s="66" t="s">
        <v>220</v>
      </c>
      <c r="G4" s="66" t="s">
        <v>221</v>
      </c>
      <c r="H4" s="66" t="s">
        <v>222</v>
      </c>
      <c r="I4" s="66" t="s">
        <v>223</v>
      </c>
      <c r="J4" s="66" t="s">
        <v>224</v>
      </c>
      <c r="K4" s="66" t="s">
        <v>225</v>
      </c>
      <c r="L4" s="66" t="s">
        <v>226</v>
      </c>
      <c r="M4" s="66" t="s">
        <v>227</v>
      </c>
    </row>
    <row r="5" spans="1:13" x14ac:dyDescent="0.3">
      <c r="A5" t="s">
        <v>229</v>
      </c>
      <c r="B5" t="s">
        <v>243</v>
      </c>
      <c r="D5" s="149" t="s">
        <v>110</v>
      </c>
      <c r="E5" s="68" t="s">
        <v>230</v>
      </c>
      <c r="F5" s="145" t="s">
        <v>228</v>
      </c>
      <c r="G5" s="146"/>
      <c r="H5" s="146"/>
      <c r="I5" s="146"/>
      <c r="J5" s="146"/>
      <c r="K5" s="146"/>
      <c r="L5" s="146"/>
      <c r="M5" s="147"/>
    </row>
    <row r="6" spans="1:13" x14ac:dyDescent="0.3">
      <c r="A6" t="s">
        <v>229</v>
      </c>
      <c r="B6" t="s">
        <v>77</v>
      </c>
      <c r="D6" s="150"/>
      <c r="E6" s="23" t="s">
        <v>230</v>
      </c>
      <c r="F6" s="143" t="s">
        <v>228</v>
      </c>
      <c r="G6" s="148"/>
      <c r="H6" s="148"/>
      <c r="I6" s="148"/>
      <c r="J6" s="148"/>
      <c r="K6" s="148"/>
      <c r="L6" s="148"/>
      <c r="M6" s="144"/>
    </row>
    <row r="7" spans="1:13" x14ac:dyDescent="0.3">
      <c r="J7" s="1"/>
      <c r="K7" s="1"/>
      <c r="L7" s="1"/>
      <c r="M7" s="1"/>
    </row>
    <row r="8" spans="1:13" x14ac:dyDescent="0.3">
      <c r="A8" t="s">
        <v>46</v>
      </c>
      <c r="B8" t="s">
        <v>243</v>
      </c>
      <c r="D8" s="151" t="s">
        <v>255</v>
      </c>
      <c r="E8" s="59" t="s">
        <v>249</v>
      </c>
      <c r="F8" s="23" t="s">
        <v>250</v>
      </c>
      <c r="G8" s="154" t="s">
        <v>230</v>
      </c>
      <c r="H8" s="154"/>
      <c r="I8" s="143" t="s">
        <v>259</v>
      </c>
      <c r="J8" s="148"/>
      <c r="K8" s="148"/>
      <c r="L8" s="148"/>
      <c r="M8" s="144"/>
    </row>
    <row r="9" spans="1:13" x14ac:dyDescent="0.3">
      <c r="A9" t="s">
        <v>212</v>
      </c>
      <c r="B9" t="s">
        <v>243</v>
      </c>
      <c r="D9" s="152"/>
      <c r="G9" s="155"/>
      <c r="H9" s="155"/>
      <c r="I9"/>
      <c r="K9" s="154" t="s">
        <v>230</v>
      </c>
      <c r="L9" s="154"/>
      <c r="M9" s="23" t="s">
        <v>228</v>
      </c>
    </row>
    <row r="10" spans="1:13" x14ac:dyDescent="0.3">
      <c r="A10" t="s">
        <v>45</v>
      </c>
      <c r="B10" t="s">
        <v>242</v>
      </c>
      <c r="D10" s="153"/>
      <c r="I10"/>
      <c r="L10" s="23" t="s">
        <v>230</v>
      </c>
      <c r="M10" s="23" t="s">
        <v>228</v>
      </c>
    </row>
    <row r="12" spans="1:13" x14ac:dyDescent="0.3">
      <c r="A12" t="s">
        <v>231</v>
      </c>
      <c r="B12" t="s">
        <v>71</v>
      </c>
      <c r="F12" s="58" t="s">
        <v>251</v>
      </c>
      <c r="G12" s="143" t="s">
        <v>232</v>
      </c>
      <c r="H12" s="148"/>
      <c r="I12" s="144"/>
      <c r="J12" s="143" t="s">
        <v>190</v>
      </c>
      <c r="K12" s="144"/>
      <c r="L12" s="143" t="s">
        <v>233</v>
      </c>
      <c r="M12" s="144"/>
    </row>
    <row r="13" spans="1:13" ht="28.8" x14ac:dyDescent="0.3">
      <c r="C13" s="182" t="s">
        <v>257</v>
      </c>
      <c r="D13" s="79" t="s">
        <v>252</v>
      </c>
    </row>
    <row r="14" spans="1:13" ht="43.2" x14ac:dyDescent="0.3">
      <c r="C14" s="183"/>
      <c r="D14" s="79" t="s">
        <v>253</v>
      </c>
    </row>
    <row r="15" spans="1:13" x14ac:dyDescent="0.3">
      <c r="C15" s="183"/>
      <c r="D15" s="23" t="s">
        <v>254</v>
      </c>
    </row>
    <row r="16" spans="1:13" ht="28.8" x14ac:dyDescent="0.3">
      <c r="C16" s="184"/>
      <c r="D16" s="79" t="s">
        <v>256</v>
      </c>
    </row>
    <row r="18" spans="1:13" x14ac:dyDescent="0.3">
      <c r="A18" s="55" t="s">
        <v>85</v>
      </c>
      <c r="B18" s="54"/>
    </row>
    <row r="19" spans="1:13" s="3" customFormat="1" x14ac:dyDescent="0.3">
      <c r="A19" s="5" t="s">
        <v>211</v>
      </c>
      <c r="B19" s="5" t="s">
        <v>94</v>
      </c>
      <c r="C19" s="29" t="s">
        <v>95</v>
      </c>
      <c r="D19" s="20"/>
      <c r="E19" s="20"/>
      <c r="F19" s="20"/>
      <c r="G19" s="20"/>
      <c r="H19" s="20"/>
      <c r="I19" s="29" t="s">
        <v>96</v>
      </c>
    </row>
    <row r="20" spans="1:13" x14ac:dyDescent="0.3">
      <c r="A20" t="s">
        <v>241</v>
      </c>
      <c r="B20" s="168" t="s">
        <v>86</v>
      </c>
      <c r="C20" t="s">
        <v>78</v>
      </c>
      <c r="I20" s="185" t="s">
        <v>92</v>
      </c>
      <c r="J20" s="185"/>
      <c r="K20" s="185"/>
      <c r="L20" s="185"/>
      <c r="M20" s="185"/>
    </row>
    <row r="21" spans="1:13" x14ac:dyDescent="0.3">
      <c r="A21" t="s">
        <v>79</v>
      </c>
      <c r="B21" s="168"/>
      <c r="C21" t="s">
        <v>80</v>
      </c>
      <c r="I21" s="185"/>
      <c r="J21" s="185"/>
      <c r="K21" s="185"/>
      <c r="L21" s="185"/>
      <c r="M21" s="185"/>
    </row>
    <row r="22" spans="1:13" x14ac:dyDescent="0.3">
      <c r="A22" t="s">
        <v>81</v>
      </c>
      <c r="B22" s="168"/>
      <c r="C22" t="s">
        <v>82</v>
      </c>
      <c r="I22" s="185"/>
      <c r="J22" s="185"/>
      <c r="K22" s="185"/>
      <c r="L22" s="185"/>
      <c r="M22" s="185"/>
    </row>
    <row r="23" spans="1:13" x14ac:dyDescent="0.3">
      <c r="A23" t="s">
        <v>83</v>
      </c>
      <c r="B23" s="168"/>
      <c r="C23" t="s">
        <v>84</v>
      </c>
      <c r="I23" s="185"/>
      <c r="J23" s="185"/>
      <c r="K23" s="185"/>
      <c r="L23" s="185"/>
      <c r="M23" s="185"/>
    </row>
    <row r="24" spans="1:13" x14ac:dyDescent="0.3">
      <c r="B24" s="1"/>
    </row>
    <row r="25" spans="1:13" x14ac:dyDescent="0.3">
      <c r="A25" t="s">
        <v>87</v>
      </c>
      <c r="B25" s="168" t="s">
        <v>88</v>
      </c>
      <c r="C25" t="s">
        <v>91</v>
      </c>
      <c r="I25" s="185" t="s">
        <v>93</v>
      </c>
      <c r="J25" s="185"/>
      <c r="K25" s="185"/>
    </row>
    <row r="26" spans="1:13" x14ac:dyDescent="0.3">
      <c r="A26" t="s">
        <v>89</v>
      </c>
      <c r="B26" s="168"/>
      <c r="C26" t="s">
        <v>90</v>
      </c>
      <c r="I26" s="185"/>
      <c r="J26" s="185"/>
      <c r="K26" s="185"/>
    </row>
    <row r="27" spans="1:13" x14ac:dyDescent="0.3">
      <c r="B27" s="1"/>
      <c r="I27" s="24"/>
    </row>
    <row r="28" spans="1:13" x14ac:dyDescent="0.3">
      <c r="A28" s="56" t="s">
        <v>206</v>
      </c>
      <c r="B28" s="71"/>
      <c r="I28" s="24"/>
    </row>
    <row r="29" spans="1:13" x14ac:dyDescent="0.3">
      <c r="A29" s="158" t="s">
        <v>236</v>
      </c>
      <c r="B29" s="161" t="s">
        <v>204</v>
      </c>
      <c r="C29" s="165" t="s">
        <v>203</v>
      </c>
      <c r="D29" s="165"/>
      <c r="E29" s="165"/>
      <c r="F29" s="165"/>
      <c r="G29" s="165"/>
      <c r="H29" s="165"/>
      <c r="I29" s="165"/>
    </row>
    <row r="30" spans="1:13" x14ac:dyDescent="0.3">
      <c r="A30" s="159"/>
      <c r="B30" s="162"/>
      <c r="C30" s="165" t="s">
        <v>196</v>
      </c>
      <c r="D30" s="165"/>
      <c r="E30" s="165"/>
      <c r="F30" s="165"/>
      <c r="G30" s="165"/>
      <c r="H30" s="165"/>
      <c r="I30" s="165"/>
    </row>
    <row r="31" spans="1:13" x14ac:dyDescent="0.3">
      <c r="A31" s="160"/>
      <c r="B31" s="162"/>
      <c r="C31" s="165" t="s">
        <v>197</v>
      </c>
      <c r="D31" s="165"/>
      <c r="E31" s="165"/>
      <c r="F31" s="165"/>
      <c r="G31" s="165"/>
      <c r="H31" s="165"/>
      <c r="I31" s="165"/>
    </row>
    <row r="32" spans="1:13" x14ac:dyDescent="0.3">
      <c r="A32" t="s">
        <v>242</v>
      </c>
      <c r="B32" s="162"/>
      <c r="C32" s="72" t="s">
        <v>235</v>
      </c>
      <c r="D32" s="53"/>
      <c r="E32" s="53"/>
      <c r="F32" s="53"/>
      <c r="G32" s="53"/>
      <c r="H32" s="53"/>
      <c r="I32" s="53"/>
    </row>
    <row r="33" spans="1:9" x14ac:dyDescent="0.3">
      <c r="A33" t="s">
        <v>51</v>
      </c>
      <c r="B33" s="162"/>
      <c r="C33" s="72" t="s">
        <v>238</v>
      </c>
      <c r="D33" s="53"/>
      <c r="E33" s="53"/>
      <c r="F33" s="53"/>
      <c r="G33" s="73"/>
      <c r="H33" s="75"/>
      <c r="I33" s="74"/>
    </row>
    <row r="34" spans="1:9" x14ac:dyDescent="0.3">
      <c r="A34" t="s">
        <v>52</v>
      </c>
      <c r="B34" s="162"/>
      <c r="C34" s="72" t="s">
        <v>239</v>
      </c>
      <c r="D34" s="53"/>
      <c r="E34" s="53"/>
      <c r="F34" s="53"/>
      <c r="G34" s="73"/>
      <c r="H34" s="75"/>
      <c r="I34" s="74"/>
    </row>
    <row r="35" spans="1:9" x14ac:dyDescent="0.3">
      <c r="A35" t="s">
        <v>53</v>
      </c>
      <c r="B35" s="163"/>
      <c r="C35" s="72" t="s">
        <v>240</v>
      </c>
      <c r="D35" s="53"/>
      <c r="E35" s="53"/>
      <c r="F35" s="53"/>
      <c r="G35" s="53"/>
      <c r="H35" s="53"/>
      <c r="I35" s="53"/>
    </row>
    <row r="36" spans="1:9" x14ac:dyDescent="0.3">
      <c r="A36" s="158" t="s">
        <v>237</v>
      </c>
      <c r="B36" s="172" t="s">
        <v>205</v>
      </c>
      <c r="C36" s="165" t="s">
        <v>198</v>
      </c>
      <c r="D36" s="165"/>
      <c r="E36" s="165"/>
      <c r="F36" s="165"/>
      <c r="G36" s="165"/>
      <c r="H36" s="165"/>
      <c r="I36" s="165"/>
    </row>
    <row r="37" spans="1:9" x14ac:dyDescent="0.3">
      <c r="A37" s="159"/>
      <c r="B37" s="172"/>
      <c r="C37" s="165" t="s">
        <v>199</v>
      </c>
      <c r="D37" s="165"/>
      <c r="E37" s="165"/>
      <c r="F37" s="165"/>
      <c r="G37" s="165"/>
      <c r="H37" s="165"/>
      <c r="I37" s="165"/>
    </row>
    <row r="38" spans="1:9" x14ac:dyDescent="0.3">
      <c r="A38" s="159"/>
      <c r="B38" s="172"/>
      <c r="C38" s="165" t="s">
        <v>200</v>
      </c>
      <c r="D38" s="165"/>
      <c r="E38" s="165"/>
      <c r="F38" s="165"/>
      <c r="G38" s="165"/>
      <c r="H38" s="165"/>
      <c r="I38" s="165"/>
    </row>
    <row r="39" spans="1:9" x14ac:dyDescent="0.3">
      <c r="A39" s="159"/>
      <c r="B39" s="172"/>
      <c r="C39" s="165" t="s">
        <v>201</v>
      </c>
      <c r="D39" s="165"/>
      <c r="E39" s="165"/>
      <c r="F39" s="165"/>
      <c r="G39" s="165"/>
      <c r="H39" s="165"/>
      <c r="I39" s="165"/>
    </row>
    <row r="40" spans="1:9" x14ac:dyDescent="0.3">
      <c r="A40" s="160"/>
      <c r="B40" s="172"/>
      <c r="C40" s="165" t="s">
        <v>202</v>
      </c>
      <c r="D40" s="165"/>
      <c r="E40" s="165"/>
      <c r="F40" s="165"/>
      <c r="G40" s="165"/>
      <c r="H40" s="165"/>
      <c r="I40" s="165"/>
    </row>
    <row r="41" spans="1:9" x14ac:dyDescent="0.3">
      <c r="I41" s="24"/>
    </row>
    <row r="42" spans="1:9" x14ac:dyDescent="0.3">
      <c r="A42" s="3" t="s">
        <v>244</v>
      </c>
      <c r="B42" s="3"/>
      <c r="C42" s="61" t="s">
        <v>245</v>
      </c>
      <c r="D42" s="60" t="s">
        <v>246</v>
      </c>
      <c r="E42" s="64" t="s">
        <v>247</v>
      </c>
      <c r="F42" s="23" t="s">
        <v>248</v>
      </c>
      <c r="I42" s="24"/>
    </row>
    <row r="43" spans="1:9" x14ac:dyDescent="0.3">
      <c r="A43" s="77" t="s">
        <v>207</v>
      </c>
      <c r="B43" s="76"/>
      <c r="I43" s="24"/>
    </row>
    <row r="44" spans="1:9" x14ac:dyDescent="0.3">
      <c r="A44" s="76" t="s">
        <v>47</v>
      </c>
      <c r="B44" s="76"/>
      <c r="C44" s="26" t="s">
        <v>45</v>
      </c>
      <c r="D44" s="166" t="s">
        <v>46</v>
      </c>
      <c r="E44" s="166"/>
      <c r="F44" s="167" t="s">
        <v>212</v>
      </c>
      <c r="G44" s="167"/>
      <c r="H44" s="167"/>
      <c r="I44" s="167"/>
    </row>
    <row r="45" spans="1:9" x14ac:dyDescent="0.3">
      <c r="A45" s="76" t="s">
        <v>50</v>
      </c>
      <c r="B45" s="76"/>
      <c r="C45" s="64" t="s">
        <v>242</v>
      </c>
      <c r="D45" s="60" t="s">
        <v>242</v>
      </c>
      <c r="E45" s="60" t="s">
        <v>51</v>
      </c>
      <c r="F45" s="69" t="s">
        <v>242</v>
      </c>
      <c r="G45" s="69" t="s">
        <v>51</v>
      </c>
      <c r="H45" s="23" t="s">
        <v>52</v>
      </c>
      <c r="I45" s="23" t="s">
        <v>53</v>
      </c>
    </row>
    <row r="46" spans="1:9" x14ac:dyDescent="0.3">
      <c r="A46" s="76" t="s">
        <v>55</v>
      </c>
      <c r="B46" s="76"/>
      <c r="C46" s="23" t="s">
        <v>56</v>
      </c>
      <c r="D46" s="156" t="s">
        <v>56</v>
      </c>
      <c r="E46" s="157"/>
      <c r="F46" s="143" t="s">
        <v>58</v>
      </c>
      <c r="G46" s="148"/>
      <c r="H46" s="148"/>
      <c r="I46" s="144"/>
    </row>
    <row r="47" spans="1:9" x14ac:dyDescent="0.3">
      <c r="A47" s="76"/>
      <c r="B47" s="76"/>
      <c r="C47" s="23" t="s">
        <v>57</v>
      </c>
      <c r="D47" s="62"/>
      <c r="E47" s="62"/>
    </row>
    <row r="48" spans="1:9" x14ac:dyDescent="0.3">
      <c r="A48" s="76" t="s">
        <v>59</v>
      </c>
      <c r="B48" s="76"/>
      <c r="C48" s="23" t="s">
        <v>74</v>
      </c>
      <c r="D48" s="156" t="s">
        <v>61</v>
      </c>
      <c r="E48" s="164"/>
      <c r="F48" s="164"/>
      <c r="G48" s="164"/>
      <c r="H48" s="164"/>
      <c r="I48" s="157"/>
    </row>
    <row r="49" spans="1:14" x14ac:dyDescent="0.3">
      <c r="A49" s="76"/>
      <c r="B49" s="76"/>
      <c r="C49" s="25" t="s">
        <v>60</v>
      </c>
      <c r="D49" s="156" t="s">
        <v>68</v>
      </c>
      <c r="E49" s="164"/>
      <c r="F49" s="164"/>
      <c r="G49" s="164"/>
      <c r="H49" s="164"/>
      <c r="I49" s="157"/>
    </row>
    <row r="50" spans="1:14" x14ac:dyDescent="0.3">
      <c r="A50" s="76" t="s">
        <v>66</v>
      </c>
      <c r="B50" s="76"/>
      <c r="C50" s="143" t="s">
        <v>67</v>
      </c>
      <c r="D50" s="148"/>
      <c r="E50" s="148"/>
      <c r="F50" s="148"/>
      <c r="G50" s="148"/>
      <c r="H50" s="148"/>
      <c r="I50" s="144"/>
    </row>
    <row r="51" spans="1:14" x14ac:dyDescent="0.3">
      <c r="A51" s="76"/>
      <c r="B51" s="76"/>
      <c r="C51"/>
      <c r="D51"/>
      <c r="E51"/>
      <c r="F51"/>
      <c r="G51"/>
      <c r="H51"/>
      <c r="I51"/>
    </row>
    <row r="52" spans="1:14" x14ac:dyDescent="0.3">
      <c r="A52" s="77" t="s">
        <v>208</v>
      </c>
      <c r="B52" s="76"/>
    </row>
    <row r="53" spans="1:14" x14ac:dyDescent="0.3">
      <c r="A53" s="76" t="s">
        <v>47</v>
      </c>
      <c r="B53" s="76"/>
      <c r="C53" s="177" t="s">
        <v>75</v>
      </c>
      <c r="D53" s="177"/>
      <c r="E53" s="177"/>
      <c r="F53" s="177"/>
      <c r="G53" s="178" t="s">
        <v>64</v>
      </c>
      <c r="H53" s="178"/>
      <c r="I53" s="178"/>
      <c r="J53" s="178"/>
      <c r="K53" s="181" t="s">
        <v>73</v>
      </c>
      <c r="L53" s="181"/>
      <c r="M53" s="181"/>
      <c r="N53" s="181"/>
    </row>
    <row r="54" spans="1:14" x14ac:dyDescent="0.3">
      <c r="A54" s="76" t="s">
        <v>50</v>
      </c>
      <c r="B54" s="76"/>
      <c r="C54" s="61" t="s">
        <v>242</v>
      </c>
      <c r="D54" s="61" t="s">
        <v>51</v>
      </c>
      <c r="E54" s="23" t="s">
        <v>52</v>
      </c>
      <c r="F54" s="23" t="s">
        <v>53</v>
      </c>
      <c r="G54" s="61" t="s">
        <v>242</v>
      </c>
      <c r="H54" s="61" t="s">
        <v>51</v>
      </c>
      <c r="I54" s="23" t="s">
        <v>52</v>
      </c>
      <c r="J54" s="23" t="s">
        <v>53</v>
      </c>
      <c r="K54" s="61" t="s">
        <v>242</v>
      </c>
      <c r="L54" s="61" t="s">
        <v>51</v>
      </c>
      <c r="M54" s="23" t="s">
        <v>52</v>
      </c>
      <c r="N54" s="23" t="s">
        <v>53</v>
      </c>
    </row>
    <row r="55" spans="1:14" x14ac:dyDescent="0.3">
      <c r="A55" s="76" t="s">
        <v>55</v>
      </c>
      <c r="B55" s="76"/>
      <c r="C55" s="143" t="s">
        <v>58</v>
      </c>
      <c r="D55" s="148"/>
      <c r="E55" s="148"/>
      <c r="F55" s="144"/>
      <c r="G55" s="143" t="s">
        <v>65</v>
      </c>
      <c r="H55" s="148"/>
      <c r="I55" s="148"/>
      <c r="J55" s="144"/>
      <c r="K55" s="143" t="s">
        <v>98</v>
      </c>
      <c r="L55" s="148"/>
      <c r="M55" s="148"/>
      <c r="N55" s="144"/>
    </row>
    <row r="56" spans="1:14" x14ac:dyDescent="0.3">
      <c r="A56" s="76" t="s">
        <v>59</v>
      </c>
      <c r="B56" s="76"/>
      <c r="C56" s="143" t="s">
        <v>214</v>
      </c>
      <c r="D56" s="148"/>
      <c r="E56" s="148"/>
      <c r="F56" s="144"/>
      <c r="G56" s="143" t="s">
        <v>213</v>
      </c>
      <c r="H56" s="148"/>
      <c r="I56" s="148"/>
      <c r="J56" s="144"/>
      <c r="K56" s="143" t="s">
        <v>100</v>
      </c>
      <c r="L56" s="148"/>
      <c r="M56" s="148"/>
      <c r="N56" s="144"/>
    </row>
    <row r="57" spans="1:14" x14ac:dyDescent="0.3">
      <c r="A57" s="76" t="s">
        <v>66</v>
      </c>
      <c r="B57" s="76"/>
      <c r="C57" s="143" t="s">
        <v>48</v>
      </c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4"/>
    </row>
    <row r="58" spans="1:14" x14ac:dyDescent="0.3">
      <c r="A58" s="76"/>
      <c r="B58" s="76"/>
    </row>
    <row r="59" spans="1:14" x14ac:dyDescent="0.3">
      <c r="A59" s="77" t="s">
        <v>209</v>
      </c>
      <c r="B59" s="76"/>
      <c r="F59" s="70"/>
    </row>
    <row r="60" spans="1:14" x14ac:dyDescent="0.3">
      <c r="A60" s="76" t="s">
        <v>47</v>
      </c>
      <c r="B60" s="76"/>
      <c r="C60" s="78" t="s">
        <v>69</v>
      </c>
      <c r="D60" s="78" t="s">
        <v>97</v>
      </c>
      <c r="E60"/>
      <c r="F60"/>
      <c r="G60"/>
      <c r="H60"/>
      <c r="I60"/>
    </row>
    <row r="61" spans="1:14" x14ac:dyDescent="0.3">
      <c r="A61" s="76" t="s">
        <v>50</v>
      </c>
      <c r="B61" s="76"/>
      <c r="C61" s="179" t="s">
        <v>71</v>
      </c>
      <c r="D61" s="180"/>
      <c r="E61"/>
      <c r="F61"/>
      <c r="G61"/>
      <c r="H61"/>
      <c r="I61"/>
    </row>
    <row r="62" spans="1:14" x14ac:dyDescent="0.3">
      <c r="A62" s="76" t="s">
        <v>55</v>
      </c>
      <c r="B62" s="76"/>
      <c r="C62" s="63" t="s">
        <v>72</v>
      </c>
      <c r="D62" s="63" t="s">
        <v>98</v>
      </c>
      <c r="E62"/>
      <c r="F62"/>
      <c r="G62"/>
      <c r="H62"/>
      <c r="I62"/>
    </row>
    <row r="63" spans="1:14" x14ac:dyDescent="0.3">
      <c r="A63" s="76" t="s">
        <v>59</v>
      </c>
      <c r="B63" s="76"/>
      <c r="C63" s="63" t="s">
        <v>70</v>
      </c>
      <c r="D63" s="63" t="s">
        <v>99</v>
      </c>
      <c r="E63"/>
      <c r="F63"/>
      <c r="G63"/>
      <c r="H63"/>
      <c r="I63"/>
    </row>
    <row r="64" spans="1:14" x14ac:dyDescent="0.3">
      <c r="A64" s="76" t="s">
        <v>66</v>
      </c>
      <c r="B64" s="76"/>
      <c r="C64" s="63" t="s">
        <v>215</v>
      </c>
      <c r="D64" s="63" t="s">
        <v>48</v>
      </c>
      <c r="E64"/>
      <c r="F64"/>
      <c r="G64"/>
      <c r="H64"/>
      <c r="I64"/>
    </row>
    <row r="65" spans="1:9" x14ac:dyDescent="0.3">
      <c r="A65" s="76"/>
      <c r="B65" s="76"/>
    </row>
    <row r="66" spans="1:9" x14ac:dyDescent="0.3">
      <c r="A66" s="77" t="s">
        <v>210</v>
      </c>
      <c r="B66" s="76"/>
    </row>
    <row r="67" spans="1:9" x14ac:dyDescent="0.3">
      <c r="A67" s="76" t="s">
        <v>47</v>
      </c>
      <c r="B67" s="76"/>
      <c r="C67" s="175" t="s">
        <v>63</v>
      </c>
      <c r="D67" s="176"/>
      <c r="E67" s="173" t="s">
        <v>62</v>
      </c>
      <c r="F67" s="174"/>
      <c r="G67" s="169" t="s">
        <v>73</v>
      </c>
      <c r="H67" s="170"/>
      <c r="I67"/>
    </row>
    <row r="68" spans="1:9" x14ac:dyDescent="0.3">
      <c r="A68" s="76" t="s">
        <v>50</v>
      </c>
      <c r="B68" s="76"/>
      <c r="C68" s="23" t="s">
        <v>234</v>
      </c>
      <c r="D68" s="61" t="s">
        <v>77</v>
      </c>
      <c r="E68" s="23" t="s">
        <v>234</v>
      </c>
      <c r="F68" s="61" t="s">
        <v>77</v>
      </c>
      <c r="G68" s="23" t="s">
        <v>234</v>
      </c>
      <c r="H68" s="61" t="s">
        <v>77</v>
      </c>
      <c r="I68"/>
    </row>
    <row r="69" spans="1:9" x14ac:dyDescent="0.3">
      <c r="A69" s="76" t="s">
        <v>55</v>
      </c>
      <c r="B69" s="76"/>
      <c r="C69" s="143" t="s">
        <v>58</v>
      </c>
      <c r="D69" s="144"/>
      <c r="E69" s="156" t="s">
        <v>65</v>
      </c>
      <c r="F69" s="157"/>
      <c r="G69" s="156" t="s">
        <v>98</v>
      </c>
      <c r="H69" s="157"/>
      <c r="I69"/>
    </row>
    <row r="70" spans="1:9" x14ac:dyDescent="0.3">
      <c r="A70" s="76" t="s">
        <v>59</v>
      </c>
      <c r="B70" s="76"/>
      <c r="C70" s="143" t="s">
        <v>214</v>
      </c>
      <c r="D70" s="148"/>
      <c r="E70" s="143" t="s">
        <v>213</v>
      </c>
      <c r="F70" s="148"/>
      <c r="G70" s="148"/>
      <c r="H70" s="144"/>
      <c r="I70"/>
    </row>
    <row r="71" spans="1:9" x14ac:dyDescent="0.3">
      <c r="A71" s="76" t="s">
        <v>66</v>
      </c>
      <c r="B71" s="76"/>
      <c r="C71" s="143" t="s">
        <v>48</v>
      </c>
      <c r="D71" s="148"/>
      <c r="E71" s="148"/>
      <c r="F71" s="148"/>
      <c r="G71" s="148"/>
      <c r="H71" s="144"/>
      <c r="I71"/>
    </row>
    <row r="73" spans="1:9" x14ac:dyDescent="0.3">
      <c r="A73" s="57" t="s">
        <v>217</v>
      </c>
    </row>
    <row r="74" spans="1:9" x14ac:dyDescent="0.3">
      <c r="A74" s="5" t="s">
        <v>145</v>
      </c>
      <c r="B74" s="5" t="s">
        <v>94</v>
      </c>
      <c r="C74" s="7" t="s">
        <v>103</v>
      </c>
      <c r="D74" s="7" t="s">
        <v>104</v>
      </c>
      <c r="E74" s="7" t="s">
        <v>105</v>
      </c>
      <c r="F74" s="7" t="s">
        <v>106</v>
      </c>
      <c r="G74" s="7" t="s">
        <v>107</v>
      </c>
      <c r="H74" s="7" t="s">
        <v>108</v>
      </c>
      <c r="I74" s="7" t="s">
        <v>116</v>
      </c>
    </row>
    <row r="75" spans="1:9" ht="14.4" customHeight="1" x14ac:dyDescent="0.3">
      <c r="A75" t="s">
        <v>45</v>
      </c>
      <c r="B75" s="171" t="s">
        <v>86</v>
      </c>
      <c r="C75" s="151" t="s">
        <v>109</v>
      </c>
      <c r="D75" s="172" t="s">
        <v>111</v>
      </c>
      <c r="E75" s="172"/>
      <c r="F75" s="171" t="s">
        <v>117</v>
      </c>
      <c r="G75" s="151" t="s">
        <v>113</v>
      </c>
      <c r="H75" s="161" t="s">
        <v>114</v>
      </c>
      <c r="I75" s="151" t="s">
        <v>115</v>
      </c>
    </row>
    <row r="76" spans="1:9" ht="14.4" customHeight="1" x14ac:dyDescent="0.3">
      <c r="A76" t="s">
        <v>102</v>
      </c>
      <c r="B76" s="171"/>
      <c r="C76" s="152"/>
      <c r="D76" s="172"/>
      <c r="E76" s="172"/>
      <c r="F76" s="171"/>
      <c r="G76" s="152"/>
      <c r="H76" s="162"/>
      <c r="I76" s="152"/>
    </row>
    <row r="77" spans="1:9" ht="14.4" customHeight="1" x14ac:dyDescent="0.3">
      <c r="A77" t="s">
        <v>49</v>
      </c>
      <c r="B77" s="171"/>
      <c r="C77" s="152"/>
      <c r="D77" s="172"/>
      <c r="E77" s="172"/>
      <c r="F77" s="171"/>
      <c r="G77" s="152"/>
      <c r="H77" s="162"/>
      <c r="I77" s="152"/>
    </row>
    <row r="78" spans="1:9" ht="14.4" customHeight="1" x14ac:dyDescent="0.3">
      <c r="A78" t="s">
        <v>54</v>
      </c>
      <c r="B78" s="171"/>
      <c r="C78" s="151" t="s">
        <v>110</v>
      </c>
      <c r="D78" s="172"/>
      <c r="E78" s="172"/>
      <c r="F78" s="171" t="s">
        <v>112</v>
      </c>
      <c r="G78" s="152"/>
      <c r="H78" s="162"/>
      <c r="I78" s="152"/>
    </row>
    <row r="79" spans="1:9" ht="14.4" customHeight="1" x14ac:dyDescent="0.3">
      <c r="A79" t="s">
        <v>62</v>
      </c>
      <c r="B79" s="171"/>
      <c r="C79" s="152"/>
      <c r="D79" s="172"/>
      <c r="E79" s="172"/>
      <c r="F79" s="171"/>
      <c r="G79" s="152"/>
      <c r="H79" s="162"/>
      <c r="I79" s="152"/>
    </row>
    <row r="80" spans="1:9" ht="14.4" customHeight="1" x14ac:dyDescent="0.3">
      <c r="A80" t="s">
        <v>73</v>
      </c>
      <c r="B80" s="171"/>
      <c r="C80" s="153"/>
      <c r="D80" s="172"/>
      <c r="E80" s="172"/>
      <c r="F80" s="171"/>
      <c r="G80" s="153"/>
      <c r="H80" s="163"/>
      <c r="I80" s="153"/>
    </row>
    <row r="81" spans="5:5" x14ac:dyDescent="0.3">
      <c r="E81"/>
    </row>
  </sheetData>
  <mergeCells count="64">
    <mergeCell ref="C13:C16"/>
    <mergeCell ref="K56:N56"/>
    <mergeCell ref="C55:F55"/>
    <mergeCell ref="G55:J55"/>
    <mergeCell ref="K55:N55"/>
    <mergeCell ref="F46:I46"/>
    <mergeCell ref="I25:K26"/>
    <mergeCell ref="I20:M23"/>
    <mergeCell ref="I75:I80"/>
    <mergeCell ref="C56:F56"/>
    <mergeCell ref="G56:J56"/>
    <mergeCell ref="C61:D61"/>
    <mergeCell ref="C29:I29"/>
    <mergeCell ref="C30:I30"/>
    <mergeCell ref="C31:I31"/>
    <mergeCell ref="C36:I36"/>
    <mergeCell ref="C37:I37"/>
    <mergeCell ref="D75:E80"/>
    <mergeCell ref="F75:F77"/>
    <mergeCell ref="F78:F80"/>
    <mergeCell ref="G75:G80"/>
    <mergeCell ref="H75:H80"/>
    <mergeCell ref="C57:N57"/>
    <mergeCell ref="K53:N53"/>
    <mergeCell ref="B20:B23"/>
    <mergeCell ref="B25:B26"/>
    <mergeCell ref="G67:H67"/>
    <mergeCell ref="C78:C80"/>
    <mergeCell ref="B75:B80"/>
    <mergeCell ref="C75:C77"/>
    <mergeCell ref="E70:H70"/>
    <mergeCell ref="B36:B40"/>
    <mergeCell ref="C71:H71"/>
    <mergeCell ref="C70:D70"/>
    <mergeCell ref="E67:F67"/>
    <mergeCell ref="C67:D67"/>
    <mergeCell ref="C53:F53"/>
    <mergeCell ref="G53:J53"/>
    <mergeCell ref="C50:I50"/>
    <mergeCell ref="D46:E46"/>
    <mergeCell ref="C69:D69"/>
    <mergeCell ref="E69:F69"/>
    <mergeCell ref="G69:H69"/>
    <mergeCell ref="A29:A31"/>
    <mergeCell ref="B29:B35"/>
    <mergeCell ref="A36:A40"/>
    <mergeCell ref="D48:I48"/>
    <mergeCell ref="D49:I49"/>
    <mergeCell ref="C38:I38"/>
    <mergeCell ref="C39:I39"/>
    <mergeCell ref="C40:I40"/>
    <mergeCell ref="D44:E44"/>
    <mergeCell ref="F44:I44"/>
    <mergeCell ref="D5:D6"/>
    <mergeCell ref="D8:D10"/>
    <mergeCell ref="G8:H8"/>
    <mergeCell ref="G9:H9"/>
    <mergeCell ref="K9:L9"/>
    <mergeCell ref="J12:K12"/>
    <mergeCell ref="L12:M12"/>
    <mergeCell ref="F5:M5"/>
    <mergeCell ref="F6:M6"/>
    <mergeCell ref="I8:M8"/>
    <mergeCell ref="G12:I12"/>
  </mergeCells>
  <phoneticPr fontId="9" type="noConversion"/>
  <pageMargins left="0.45" right="0.45" top="0.5" bottom="0.5" header="0.3" footer="0.3"/>
  <pageSetup scale="4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4162-0D00-4EF3-97EE-BE84E9A84625}">
  <sheetPr>
    <pageSetUpPr fitToPage="1"/>
  </sheetPr>
  <dimension ref="A1:AO121"/>
  <sheetViews>
    <sheetView tabSelected="1" topLeftCell="D1" workbookViewId="0">
      <selection activeCell="D3" sqref="A3:XFD3"/>
    </sheetView>
  </sheetViews>
  <sheetFormatPr defaultRowHeight="14.4" x14ac:dyDescent="0.3"/>
  <cols>
    <col min="1" max="2" width="10.77734375" hidden="1" customWidth="1"/>
    <col min="3" max="3" width="28.88671875" hidden="1" customWidth="1"/>
    <col min="4" max="4" width="45.21875" customWidth="1"/>
    <col min="5" max="15" width="5.77734375" customWidth="1"/>
    <col min="16" max="16" width="6.77734375" customWidth="1"/>
    <col min="19" max="19" width="3.77734375" customWidth="1"/>
    <col min="26" max="26" width="1.77734375" customWidth="1"/>
    <col min="27" max="27" width="3.77734375" customWidth="1"/>
    <col min="34" max="34" width="1.77734375" customWidth="1"/>
    <col min="35" max="35" width="3.77734375" customWidth="1"/>
  </cols>
  <sheetData>
    <row r="1" spans="1:15" ht="21" x14ac:dyDescent="0.4">
      <c r="C1" s="21" t="s">
        <v>43</v>
      </c>
    </row>
    <row r="3" spans="1:15" ht="15" customHeight="1" x14ac:dyDescent="0.3">
      <c r="A3" s="8"/>
      <c r="B3" s="8"/>
      <c r="C3" s="9"/>
      <c r="D3" s="9"/>
      <c r="E3" s="118" t="s">
        <v>195</v>
      </c>
      <c r="F3" s="118"/>
      <c r="G3" s="118"/>
      <c r="H3" s="118" t="s">
        <v>42</v>
      </c>
      <c r="I3" s="118"/>
      <c r="J3" s="118"/>
      <c r="K3" s="118"/>
      <c r="L3" s="118" t="s">
        <v>41</v>
      </c>
      <c r="M3" s="118"/>
      <c r="N3" s="118"/>
      <c r="O3" s="118"/>
    </row>
    <row r="4" spans="1:15" ht="21" x14ac:dyDescent="0.3">
      <c r="A4" s="11"/>
      <c r="B4" s="11"/>
      <c r="C4" s="12"/>
      <c r="D4" s="13" t="s">
        <v>25</v>
      </c>
      <c r="E4" s="82"/>
      <c r="F4" s="83"/>
      <c r="G4" s="84"/>
      <c r="H4" s="82"/>
      <c r="I4" s="83"/>
      <c r="J4" s="83"/>
      <c r="K4" s="84"/>
      <c r="L4" s="82"/>
      <c r="M4" s="83"/>
      <c r="N4" s="83"/>
      <c r="O4" s="84"/>
    </row>
    <row r="5" spans="1:15" ht="44.4" customHeight="1" x14ac:dyDescent="0.3">
      <c r="A5" s="11"/>
      <c r="B5" s="11"/>
      <c r="C5" s="12"/>
      <c r="D5" s="91" t="s">
        <v>28</v>
      </c>
      <c r="E5" s="85"/>
      <c r="F5" s="86"/>
      <c r="G5" s="18"/>
      <c r="H5" s="85"/>
      <c r="I5" s="86"/>
      <c r="J5" s="86"/>
      <c r="K5" s="18"/>
      <c r="L5" s="85"/>
      <c r="M5" s="86"/>
      <c r="N5" s="86"/>
      <c r="O5" s="18"/>
    </row>
    <row r="6" spans="1:15" ht="15" customHeight="1" x14ac:dyDescent="0.3">
      <c r="A6" s="11"/>
      <c r="B6" s="11"/>
      <c r="C6" s="12"/>
      <c r="D6" s="91" t="s">
        <v>216</v>
      </c>
      <c r="E6" s="105" t="s">
        <v>190</v>
      </c>
      <c r="F6" s="106"/>
      <c r="G6" s="107"/>
      <c r="H6" s="108">
        <v>10</v>
      </c>
      <c r="I6" s="109"/>
      <c r="J6" s="109"/>
      <c r="K6" s="110"/>
      <c r="L6" s="108">
        <v>30</v>
      </c>
      <c r="M6" s="109"/>
      <c r="N6" s="109"/>
      <c r="O6" s="110"/>
    </row>
    <row r="7" spans="1:15" ht="15" customHeight="1" x14ac:dyDescent="0.3">
      <c r="A7" s="11"/>
      <c r="B7" s="11"/>
      <c r="C7" s="12"/>
      <c r="D7" s="91" t="s">
        <v>4</v>
      </c>
      <c r="E7" s="105" t="s">
        <v>190</v>
      </c>
      <c r="F7" s="106"/>
      <c r="G7" s="107"/>
      <c r="H7" s="98" t="s">
        <v>268</v>
      </c>
      <c r="I7" s="111"/>
      <c r="J7" s="111"/>
      <c r="K7" s="112"/>
      <c r="L7" s="98" t="s">
        <v>268</v>
      </c>
      <c r="M7" s="111"/>
      <c r="N7" s="111"/>
      <c r="O7" s="112"/>
    </row>
    <row r="8" spans="1:15" ht="15" customHeight="1" x14ac:dyDescent="0.3">
      <c r="A8" s="11"/>
      <c r="B8" s="11"/>
      <c r="C8" s="12"/>
      <c r="D8" s="91" t="s">
        <v>5</v>
      </c>
      <c r="E8" s="105" t="s">
        <v>190</v>
      </c>
      <c r="F8" s="106"/>
      <c r="G8" s="107"/>
      <c r="H8" s="98" t="s">
        <v>268</v>
      </c>
      <c r="I8" s="111"/>
      <c r="J8" s="111"/>
      <c r="K8" s="112"/>
      <c r="L8" s="98" t="s">
        <v>268</v>
      </c>
      <c r="M8" s="111"/>
      <c r="N8" s="111"/>
      <c r="O8" s="112"/>
    </row>
    <row r="9" spans="1:15" ht="15" customHeight="1" x14ac:dyDescent="0.3">
      <c r="A9" s="11"/>
      <c r="B9" s="11"/>
      <c r="C9" s="12"/>
      <c r="D9" s="91" t="s">
        <v>6</v>
      </c>
      <c r="E9" s="105" t="s">
        <v>190</v>
      </c>
      <c r="F9" s="106"/>
      <c r="G9" s="107"/>
      <c r="H9" s="98" t="s">
        <v>268</v>
      </c>
      <c r="I9" s="111"/>
      <c r="J9" s="111"/>
      <c r="K9" s="112"/>
      <c r="L9" s="98" t="s">
        <v>268</v>
      </c>
      <c r="M9" s="111"/>
      <c r="N9" s="111"/>
      <c r="O9" s="112"/>
    </row>
    <row r="10" spans="1:15" ht="15" customHeight="1" x14ac:dyDescent="0.3">
      <c r="A10" s="11"/>
      <c r="B10" s="11"/>
      <c r="C10" s="12"/>
      <c r="D10" s="92" t="s">
        <v>29</v>
      </c>
      <c r="E10" s="108"/>
      <c r="F10" s="109"/>
      <c r="G10" s="110"/>
      <c r="H10" s="108"/>
      <c r="I10" s="109"/>
      <c r="J10" s="109"/>
      <c r="K10" s="110"/>
      <c r="L10" s="108"/>
      <c r="M10" s="109"/>
      <c r="N10" s="109"/>
      <c r="O10" s="110"/>
    </row>
    <row r="11" spans="1:15" ht="31.2" customHeight="1" x14ac:dyDescent="0.3">
      <c r="A11" s="11"/>
      <c r="B11" s="11"/>
      <c r="C11" s="12"/>
      <c r="D11" s="91" t="s">
        <v>30</v>
      </c>
      <c r="E11" s="87"/>
      <c r="F11" s="86"/>
      <c r="G11" s="18"/>
      <c r="H11" s="87"/>
      <c r="I11" s="86"/>
      <c r="J11" s="86"/>
      <c r="K11" s="18"/>
      <c r="L11" s="87"/>
      <c r="M11" s="86"/>
      <c r="N11" s="86"/>
      <c r="O11" s="18"/>
    </row>
    <row r="12" spans="1:15" ht="15" customHeight="1" x14ac:dyDescent="0.3">
      <c r="A12" s="11"/>
      <c r="B12" s="11"/>
      <c r="C12" s="12"/>
      <c r="D12" s="91" t="s">
        <v>7</v>
      </c>
      <c r="E12" s="105" t="s">
        <v>190</v>
      </c>
      <c r="F12" s="106"/>
      <c r="G12" s="107"/>
      <c r="H12" s="98" t="s">
        <v>268</v>
      </c>
      <c r="I12" s="111"/>
      <c r="J12" s="111"/>
      <c r="K12" s="112"/>
      <c r="L12" s="98" t="s">
        <v>268</v>
      </c>
      <c r="M12" s="111"/>
      <c r="N12" s="111"/>
      <c r="O12" s="112"/>
    </row>
    <row r="13" spans="1:15" ht="15" customHeight="1" x14ac:dyDescent="0.3">
      <c r="A13" s="11"/>
      <c r="B13" s="11"/>
      <c r="C13" s="12"/>
      <c r="D13" s="91" t="s">
        <v>8</v>
      </c>
      <c r="E13" s="105" t="s">
        <v>190</v>
      </c>
      <c r="F13" s="106"/>
      <c r="G13" s="107"/>
      <c r="H13" s="98" t="s">
        <v>268</v>
      </c>
      <c r="I13" s="111"/>
      <c r="J13" s="111"/>
      <c r="K13" s="112"/>
      <c r="L13" s="98" t="s">
        <v>268</v>
      </c>
      <c r="M13" s="111"/>
      <c r="N13" s="111"/>
      <c r="O13" s="112"/>
    </row>
    <row r="14" spans="1:15" ht="15" customHeight="1" x14ac:dyDescent="0.3">
      <c r="A14" s="11"/>
      <c r="B14" s="11"/>
      <c r="C14" s="12"/>
      <c r="D14" s="91" t="s">
        <v>9</v>
      </c>
      <c r="E14" s="105" t="s">
        <v>190</v>
      </c>
      <c r="F14" s="106"/>
      <c r="G14" s="107"/>
      <c r="H14" s="98" t="s">
        <v>268</v>
      </c>
      <c r="I14" s="111"/>
      <c r="J14" s="111"/>
      <c r="K14" s="112"/>
      <c r="L14" s="98" t="s">
        <v>268</v>
      </c>
      <c r="M14" s="111"/>
      <c r="N14" s="111"/>
      <c r="O14" s="112"/>
    </row>
    <row r="15" spans="1:15" ht="15" customHeight="1" x14ac:dyDescent="0.3">
      <c r="A15" s="11"/>
      <c r="B15" s="11"/>
      <c r="C15" s="12"/>
      <c r="D15" s="91" t="s">
        <v>10</v>
      </c>
      <c r="E15" s="105" t="s">
        <v>190</v>
      </c>
      <c r="F15" s="106"/>
      <c r="G15" s="107"/>
      <c r="H15" s="98" t="s">
        <v>268</v>
      </c>
      <c r="I15" s="111"/>
      <c r="J15" s="111"/>
      <c r="K15" s="112"/>
      <c r="L15" s="98" t="s">
        <v>268</v>
      </c>
      <c r="M15" s="111"/>
      <c r="N15" s="111"/>
      <c r="O15" s="112"/>
    </row>
    <row r="16" spans="1:15" ht="15" customHeight="1" x14ac:dyDescent="0.3">
      <c r="A16" s="11"/>
      <c r="B16" s="11"/>
      <c r="C16" s="12"/>
      <c r="D16" s="91" t="s">
        <v>11</v>
      </c>
      <c r="E16" s="105" t="s">
        <v>190</v>
      </c>
      <c r="F16" s="106"/>
      <c r="G16" s="107"/>
      <c r="H16" s="98" t="s">
        <v>268</v>
      </c>
      <c r="I16" s="99"/>
      <c r="J16" s="99"/>
      <c r="K16" s="100"/>
      <c r="L16" s="98" t="s">
        <v>268</v>
      </c>
      <c r="M16" s="111"/>
      <c r="N16" s="111"/>
      <c r="O16" s="112"/>
    </row>
    <row r="17" spans="1:15" ht="15" customHeight="1" x14ac:dyDescent="0.3">
      <c r="A17" s="11"/>
      <c r="B17" s="11"/>
      <c r="C17" s="12"/>
      <c r="D17" s="92" t="s">
        <v>32</v>
      </c>
      <c r="E17" s="87"/>
      <c r="F17" s="86"/>
      <c r="G17" s="18"/>
      <c r="H17" s="87"/>
      <c r="I17" s="86"/>
      <c r="J17" s="86"/>
      <c r="K17" s="18"/>
      <c r="L17" s="87"/>
      <c r="M17" s="86"/>
      <c r="N17" s="86"/>
      <c r="O17" s="18"/>
    </row>
    <row r="18" spans="1:15" ht="28.8" x14ac:dyDescent="0.3">
      <c r="A18" s="11"/>
      <c r="B18" s="11"/>
      <c r="C18" s="12"/>
      <c r="D18" s="91" t="s">
        <v>31</v>
      </c>
      <c r="E18" s="87"/>
      <c r="F18" s="86"/>
      <c r="G18" s="18"/>
      <c r="H18" s="87"/>
      <c r="I18" s="86"/>
      <c r="J18" s="86"/>
      <c r="K18" s="18"/>
      <c r="L18" s="87"/>
      <c r="M18" s="86"/>
      <c r="N18" s="86"/>
      <c r="O18" s="18"/>
    </row>
    <row r="19" spans="1:15" ht="15" customHeight="1" x14ac:dyDescent="0.3">
      <c r="A19" s="11"/>
      <c r="B19" s="11"/>
      <c r="C19" s="12"/>
      <c r="D19" s="91" t="s">
        <v>33</v>
      </c>
      <c r="E19" s="105" t="s">
        <v>190</v>
      </c>
      <c r="F19" s="106"/>
      <c r="G19" s="107"/>
      <c r="H19" s="98" t="s">
        <v>268</v>
      </c>
      <c r="I19" s="99"/>
      <c r="J19" s="99"/>
      <c r="K19" s="100"/>
      <c r="L19" s="98" t="s">
        <v>268</v>
      </c>
      <c r="M19" s="99"/>
      <c r="N19" s="99"/>
      <c r="O19" s="100"/>
    </row>
    <row r="20" spans="1:15" ht="15" customHeight="1" x14ac:dyDescent="0.3">
      <c r="A20" s="11"/>
      <c r="B20" s="11"/>
      <c r="C20" s="12"/>
      <c r="D20" s="91" t="s">
        <v>34</v>
      </c>
      <c r="E20" s="105" t="s">
        <v>190</v>
      </c>
      <c r="F20" s="106"/>
      <c r="G20" s="107"/>
      <c r="H20" s="98" t="s">
        <v>268</v>
      </c>
      <c r="I20" s="99"/>
      <c r="J20" s="99"/>
      <c r="K20" s="100"/>
      <c r="L20" s="98" t="s">
        <v>268</v>
      </c>
      <c r="M20" s="99"/>
      <c r="N20" s="99"/>
      <c r="O20" s="100"/>
    </row>
    <row r="21" spans="1:15" ht="15" customHeight="1" x14ac:dyDescent="0.3">
      <c r="A21" s="11"/>
      <c r="B21" s="11"/>
      <c r="C21" s="12"/>
      <c r="D21" s="91" t="s">
        <v>35</v>
      </c>
      <c r="E21" s="105" t="s">
        <v>190</v>
      </c>
      <c r="F21" s="106"/>
      <c r="G21" s="107"/>
      <c r="H21" s="98" t="s">
        <v>268</v>
      </c>
      <c r="I21" s="99"/>
      <c r="J21" s="99"/>
      <c r="K21" s="100"/>
      <c r="L21" s="98" t="s">
        <v>268</v>
      </c>
      <c r="M21" s="99"/>
      <c r="N21" s="99"/>
      <c r="O21" s="100"/>
    </row>
    <row r="22" spans="1:15" ht="15" customHeight="1" x14ac:dyDescent="0.3">
      <c r="A22" s="11"/>
      <c r="B22" s="11"/>
      <c r="C22" s="12"/>
      <c r="D22" s="91" t="s">
        <v>36</v>
      </c>
      <c r="E22" s="105" t="s">
        <v>190</v>
      </c>
      <c r="F22" s="106"/>
      <c r="G22" s="107"/>
      <c r="H22" s="98" t="s">
        <v>268</v>
      </c>
      <c r="I22" s="99"/>
      <c r="J22" s="99"/>
      <c r="K22" s="100"/>
      <c r="L22" s="98" t="s">
        <v>268</v>
      </c>
      <c r="M22" s="99"/>
      <c r="N22" s="99"/>
      <c r="O22" s="100"/>
    </row>
    <row r="23" spans="1:15" ht="15" customHeight="1" x14ac:dyDescent="0.3">
      <c r="A23" s="11"/>
      <c r="B23" s="11"/>
      <c r="C23" s="12"/>
      <c r="D23" s="92" t="s">
        <v>12</v>
      </c>
      <c r="E23" s="87"/>
      <c r="F23" s="86"/>
      <c r="G23" s="18"/>
      <c r="H23" s="87"/>
      <c r="I23" s="86"/>
      <c r="J23" s="86"/>
      <c r="K23" s="18"/>
      <c r="L23" s="87"/>
      <c r="M23" s="86"/>
      <c r="N23" s="86"/>
      <c r="O23" s="18"/>
    </row>
    <row r="24" spans="1:15" ht="28.8" x14ac:dyDescent="0.3">
      <c r="A24" s="11"/>
      <c r="B24" s="11"/>
      <c r="C24" s="12"/>
      <c r="D24" s="91" t="s">
        <v>13</v>
      </c>
      <c r="E24" s="87"/>
      <c r="F24" s="86"/>
      <c r="G24" s="18"/>
      <c r="H24" s="87"/>
      <c r="I24" s="86"/>
      <c r="J24" s="86"/>
      <c r="K24" s="18"/>
      <c r="L24" s="87"/>
      <c r="M24" s="86"/>
      <c r="N24" s="86"/>
      <c r="O24" s="18"/>
    </row>
    <row r="25" spans="1:15" ht="15" customHeight="1" x14ac:dyDescent="0.3">
      <c r="A25" s="11"/>
      <c r="B25" s="11"/>
      <c r="C25" s="12"/>
      <c r="D25" s="91" t="s">
        <v>14</v>
      </c>
      <c r="E25" s="98" t="s">
        <v>268</v>
      </c>
      <c r="F25" s="99"/>
      <c r="G25" s="100"/>
      <c r="H25" s="98" t="s">
        <v>268</v>
      </c>
      <c r="I25" s="99"/>
      <c r="J25" s="99"/>
      <c r="K25" s="100"/>
      <c r="L25" s="98" t="s">
        <v>268</v>
      </c>
      <c r="M25" s="99"/>
      <c r="N25" s="99"/>
      <c r="O25" s="100"/>
    </row>
    <row r="26" spans="1:15" ht="15" customHeight="1" x14ac:dyDescent="0.3">
      <c r="A26" s="11"/>
      <c r="B26" s="11"/>
      <c r="C26" s="12"/>
      <c r="D26" s="91" t="s">
        <v>15</v>
      </c>
      <c r="E26" s="98" t="s">
        <v>268</v>
      </c>
      <c r="F26" s="99"/>
      <c r="G26" s="100"/>
      <c r="H26" s="98" t="s">
        <v>268</v>
      </c>
      <c r="I26" s="99"/>
      <c r="J26" s="99"/>
      <c r="K26" s="100"/>
      <c r="L26" s="98" t="s">
        <v>268</v>
      </c>
      <c r="M26" s="99"/>
      <c r="N26" s="99"/>
      <c r="O26" s="100"/>
    </row>
    <row r="27" spans="1:15" ht="15" customHeight="1" x14ac:dyDescent="0.3">
      <c r="A27" s="11"/>
      <c r="B27" s="11"/>
      <c r="C27" s="12"/>
      <c r="D27" s="91" t="s">
        <v>16</v>
      </c>
      <c r="E27" s="98" t="s">
        <v>268</v>
      </c>
      <c r="F27" s="99"/>
      <c r="G27" s="100"/>
      <c r="H27" s="98" t="s">
        <v>268</v>
      </c>
      <c r="I27" s="99"/>
      <c r="J27" s="99"/>
      <c r="K27" s="100"/>
      <c r="L27" s="98" t="s">
        <v>268</v>
      </c>
      <c r="M27" s="99"/>
      <c r="N27" s="99"/>
      <c r="O27" s="100"/>
    </row>
    <row r="28" spans="1:15" ht="15" customHeight="1" x14ac:dyDescent="0.3">
      <c r="A28" s="11"/>
      <c r="B28" s="11"/>
      <c r="C28" s="12"/>
      <c r="D28" s="92" t="s">
        <v>17</v>
      </c>
      <c r="E28" s="87"/>
      <c r="F28" s="86"/>
      <c r="G28" s="18"/>
      <c r="H28" s="87"/>
      <c r="I28" s="86"/>
      <c r="J28" s="86"/>
      <c r="K28" s="18"/>
      <c r="L28" s="87"/>
      <c r="M28" s="86"/>
      <c r="N28" s="86"/>
      <c r="O28" s="18"/>
    </row>
    <row r="29" spans="1:15" ht="28.8" x14ac:dyDescent="0.3">
      <c r="A29" s="11"/>
      <c r="B29" s="11"/>
      <c r="C29" s="12"/>
      <c r="D29" s="91" t="s">
        <v>18</v>
      </c>
      <c r="E29" s="87"/>
      <c r="F29" s="86"/>
      <c r="G29" s="18"/>
      <c r="H29" s="87"/>
      <c r="I29" s="86"/>
      <c r="J29" s="86"/>
      <c r="K29" s="18"/>
      <c r="L29" s="87"/>
      <c r="M29" s="86"/>
      <c r="N29" s="86"/>
      <c r="O29" s="18"/>
    </row>
    <row r="30" spans="1:15" ht="15" customHeight="1" x14ac:dyDescent="0.3">
      <c r="A30" s="11"/>
      <c r="B30" s="11"/>
      <c r="C30" s="12"/>
      <c r="D30" s="91" t="s">
        <v>19</v>
      </c>
      <c r="E30" s="98" t="s">
        <v>268</v>
      </c>
      <c r="F30" s="99"/>
      <c r="G30" s="100"/>
      <c r="H30" s="98" t="s">
        <v>268</v>
      </c>
      <c r="I30" s="99"/>
      <c r="J30" s="99"/>
      <c r="K30" s="100"/>
      <c r="L30" s="98" t="s">
        <v>268</v>
      </c>
      <c r="M30" s="99"/>
      <c r="N30" s="99"/>
      <c r="O30" s="100"/>
    </row>
    <row r="31" spans="1:15" ht="15" customHeight="1" x14ac:dyDescent="0.3">
      <c r="A31" s="11"/>
      <c r="B31" s="11"/>
      <c r="C31" s="12"/>
      <c r="D31" s="91" t="s">
        <v>20</v>
      </c>
      <c r="E31" s="98" t="s">
        <v>268</v>
      </c>
      <c r="F31" s="99"/>
      <c r="G31" s="100"/>
      <c r="H31" s="98" t="s">
        <v>268</v>
      </c>
      <c r="I31" s="99"/>
      <c r="J31" s="99"/>
      <c r="K31" s="100"/>
      <c r="L31" s="98" t="s">
        <v>268</v>
      </c>
      <c r="M31" s="99"/>
      <c r="N31" s="99"/>
      <c r="O31" s="100"/>
    </row>
    <row r="32" spans="1:15" ht="15" customHeight="1" x14ac:dyDescent="0.3">
      <c r="A32" s="11"/>
      <c r="B32" s="11"/>
      <c r="C32" s="12"/>
      <c r="D32" s="92" t="s">
        <v>21</v>
      </c>
      <c r="E32" s="98" t="s">
        <v>268</v>
      </c>
      <c r="F32" s="99"/>
      <c r="G32" s="100"/>
      <c r="H32" s="87"/>
      <c r="I32" s="86"/>
      <c r="J32" s="86"/>
      <c r="K32" s="18"/>
      <c r="L32" s="87"/>
      <c r="M32" s="86"/>
      <c r="N32" s="86"/>
      <c r="O32" s="18"/>
    </row>
    <row r="33" spans="1:19" ht="15" customHeight="1" x14ac:dyDescent="0.3">
      <c r="A33" s="11"/>
      <c r="B33" s="11"/>
      <c r="C33" s="12"/>
      <c r="D33" s="91" t="s">
        <v>22</v>
      </c>
      <c r="E33" s="87"/>
      <c r="F33" s="86"/>
      <c r="G33" s="18"/>
      <c r="H33" s="87"/>
      <c r="I33" s="86"/>
      <c r="J33" s="86"/>
      <c r="K33" s="18"/>
      <c r="L33" s="87"/>
      <c r="M33" s="86"/>
      <c r="N33" s="86"/>
      <c r="O33" s="18"/>
    </row>
    <row r="34" spans="1:19" ht="15" customHeight="1" x14ac:dyDescent="0.3">
      <c r="A34" s="11"/>
      <c r="B34" s="11"/>
      <c r="C34" s="12"/>
      <c r="D34" s="91" t="s">
        <v>23</v>
      </c>
      <c r="E34" s="98" t="s">
        <v>268</v>
      </c>
      <c r="F34" s="99"/>
      <c r="G34" s="100"/>
      <c r="H34" s="98" t="s">
        <v>268</v>
      </c>
      <c r="I34" s="99"/>
      <c r="J34" s="99"/>
      <c r="K34" s="100"/>
      <c r="L34" s="98" t="s">
        <v>268</v>
      </c>
      <c r="M34" s="99"/>
      <c r="N34" s="99"/>
      <c r="O34" s="100"/>
    </row>
    <row r="35" spans="1:19" ht="15" customHeight="1" x14ac:dyDescent="0.3">
      <c r="A35" s="11"/>
      <c r="B35" s="11"/>
      <c r="C35" s="12"/>
      <c r="D35" s="91" t="s">
        <v>24</v>
      </c>
      <c r="E35" s="98" t="s">
        <v>268</v>
      </c>
      <c r="F35" s="99"/>
      <c r="G35" s="100"/>
      <c r="H35" s="98" t="s">
        <v>268</v>
      </c>
      <c r="I35" s="99"/>
      <c r="J35" s="99"/>
      <c r="K35" s="100"/>
      <c r="L35" s="98" t="s">
        <v>268</v>
      </c>
      <c r="M35" s="99"/>
      <c r="N35" s="99"/>
      <c r="O35" s="100"/>
    </row>
    <row r="36" spans="1:19" ht="15" customHeight="1" x14ac:dyDescent="0.3">
      <c r="A36" s="11"/>
      <c r="B36" s="11"/>
      <c r="C36" s="12"/>
      <c r="D36" s="12"/>
      <c r="E36" s="98"/>
      <c r="F36" s="99"/>
      <c r="G36" s="100"/>
      <c r="H36" s="10"/>
      <c r="I36" s="11"/>
      <c r="J36" s="11"/>
      <c r="K36" s="14"/>
      <c r="L36" s="10"/>
      <c r="M36" s="11"/>
      <c r="N36" s="11"/>
      <c r="O36" s="14"/>
    </row>
    <row r="37" spans="1:19" ht="15" customHeight="1" x14ac:dyDescent="0.3">
      <c r="A37" s="11"/>
      <c r="B37" s="11"/>
      <c r="C37" s="12"/>
      <c r="D37" s="12"/>
      <c r="E37" s="10"/>
      <c r="F37" s="11"/>
      <c r="G37" s="14"/>
      <c r="H37" s="10"/>
      <c r="I37" s="11"/>
      <c r="J37" s="11"/>
      <c r="K37" s="14"/>
      <c r="L37" s="10"/>
      <c r="M37" s="11"/>
      <c r="N37" s="11"/>
      <c r="O37" s="14"/>
    </row>
    <row r="38" spans="1:19" ht="15" customHeight="1" x14ac:dyDescent="0.3">
      <c r="A38" s="11"/>
      <c r="B38" s="11"/>
      <c r="C38" s="88"/>
      <c r="D38" s="89" t="s">
        <v>271</v>
      </c>
      <c r="E38" s="10"/>
      <c r="F38" s="11"/>
      <c r="G38" s="14"/>
      <c r="H38" s="108" t="s">
        <v>26</v>
      </c>
      <c r="I38" s="109"/>
      <c r="J38" s="109" t="s">
        <v>27</v>
      </c>
      <c r="K38" s="110"/>
      <c r="L38" s="108" t="s">
        <v>26</v>
      </c>
      <c r="M38" s="109"/>
      <c r="N38" s="109" t="s">
        <v>27</v>
      </c>
      <c r="O38" s="110"/>
    </row>
    <row r="39" spans="1:19" ht="15" customHeight="1" x14ac:dyDescent="0.3">
      <c r="A39" s="125" t="s">
        <v>265</v>
      </c>
      <c r="B39" s="126"/>
      <c r="C39" s="11"/>
      <c r="D39" s="15" t="s">
        <v>272</v>
      </c>
      <c r="E39" s="108" t="s">
        <v>269</v>
      </c>
      <c r="F39" s="109"/>
      <c r="G39" s="110"/>
      <c r="H39" s="113">
        <v>29.99</v>
      </c>
      <c r="I39" s="114"/>
      <c r="J39" s="114">
        <f>SUM(H39*12*0.9)</f>
        <v>323.892</v>
      </c>
      <c r="K39" s="117"/>
      <c r="L39" s="113">
        <v>34.99</v>
      </c>
      <c r="M39" s="114"/>
      <c r="N39" s="114">
        <f>SUM(L39*12*0.9)</f>
        <v>377.892</v>
      </c>
      <c r="O39" s="117"/>
    </row>
    <row r="40" spans="1:19" ht="15" customHeight="1" x14ac:dyDescent="0.3">
      <c r="A40" s="127"/>
      <c r="B40" s="128"/>
      <c r="C40" s="11"/>
      <c r="D40" s="15" t="s">
        <v>273</v>
      </c>
      <c r="E40" s="108" t="s">
        <v>269</v>
      </c>
      <c r="F40" s="109"/>
      <c r="G40" s="110"/>
      <c r="H40" s="113">
        <v>19.989999999999998</v>
      </c>
      <c r="I40" s="114"/>
      <c r="J40" s="114">
        <f>SUM(H40*12*0.9)</f>
        <v>215.892</v>
      </c>
      <c r="K40" s="117"/>
      <c r="L40" s="113">
        <v>19.989999999999998</v>
      </c>
      <c r="M40" s="114"/>
      <c r="N40" s="114">
        <f>+J40</f>
        <v>215.892</v>
      </c>
      <c r="O40" s="117"/>
    </row>
    <row r="41" spans="1:19" ht="15" hidden="1" customHeight="1" x14ac:dyDescent="0.3">
      <c r="A41" s="17"/>
      <c r="B41" s="17"/>
      <c r="C41" s="17"/>
      <c r="D41" s="90" t="s">
        <v>260</v>
      </c>
      <c r="E41" s="16"/>
      <c r="F41" s="17"/>
      <c r="G41" s="11"/>
      <c r="H41" s="115">
        <v>5.99</v>
      </c>
      <c r="I41" s="116"/>
      <c r="J41" s="113">
        <v>59.99</v>
      </c>
      <c r="K41" s="117"/>
      <c r="L41" s="113">
        <f>+H41</f>
        <v>5.99</v>
      </c>
      <c r="M41" s="117"/>
      <c r="N41" s="113">
        <f>+J41</f>
        <v>59.99</v>
      </c>
      <c r="O41" s="117"/>
    </row>
    <row r="42" spans="1:19" ht="15" customHeight="1" x14ac:dyDescent="0.3">
      <c r="D42" s="15" t="s">
        <v>270</v>
      </c>
      <c r="E42" s="16"/>
      <c r="F42" s="17"/>
      <c r="G42" s="93"/>
      <c r="H42" s="90"/>
      <c r="I42" s="90"/>
      <c r="J42" s="103">
        <v>0.1</v>
      </c>
      <c r="K42" s="104"/>
      <c r="L42" s="90"/>
      <c r="M42" s="90"/>
      <c r="N42" s="103">
        <v>0.1</v>
      </c>
      <c r="O42" s="104"/>
      <c r="Q42" s="131" t="s">
        <v>38</v>
      </c>
      <c r="R42" s="131"/>
      <c r="S42" s="131"/>
    </row>
    <row r="43" spans="1:19" ht="15" customHeight="1" x14ac:dyDescent="0.3">
      <c r="E43" s="6" t="s">
        <v>1</v>
      </c>
      <c r="H43" s="1"/>
      <c r="I43" s="1"/>
      <c r="J43" s="1"/>
      <c r="K43" s="1"/>
      <c r="L43" s="1"/>
      <c r="M43" s="1"/>
      <c r="N43" s="1"/>
      <c r="O43" s="1"/>
      <c r="Q43" s="7" t="s">
        <v>39</v>
      </c>
      <c r="R43" s="7" t="s">
        <v>40</v>
      </c>
    </row>
    <row r="44" spans="1:19" ht="15" customHeight="1" x14ac:dyDescent="0.3">
      <c r="A44" s="119" t="s">
        <v>37</v>
      </c>
      <c r="B44" s="120"/>
      <c r="D44" t="s">
        <v>2</v>
      </c>
      <c r="E44" s="1">
        <v>1</v>
      </c>
      <c r="H44" s="96">
        <f>SUM(H39*12)</f>
        <v>359.88</v>
      </c>
      <c r="I44" s="97"/>
      <c r="J44" s="96">
        <f>SUM(J39)</f>
        <v>323.892</v>
      </c>
      <c r="K44" s="97"/>
      <c r="L44" s="96">
        <f>SUM(L39*12)</f>
        <v>419.88</v>
      </c>
      <c r="M44" s="97"/>
      <c r="N44" s="96">
        <f>SUM(N39)</f>
        <v>377.892</v>
      </c>
      <c r="O44" s="97"/>
      <c r="Q44" s="19">
        <f>SUM(J44/H44)-1</f>
        <v>-9.9999999999999978E-2</v>
      </c>
      <c r="R44" s="19">
        <f>SUM(N44/L44)-1</f>
        <v>-9.9999999999999978E-2</v>
      </c>
    </row>
    <row r="45" spans="1:19" ht="15" customHeight="1" x14ac:dyDescent="0.3">
      <c r="A45" s="121"/>
      <c r="B45" s="122"/>
      <c r="D45" t="s">
        <v>2</v>
      </c>
      <c r="E45" s="1">
        <v>2</v>
      </c>
      <c r="H45" s="94">
        <f>SUM(H44+(H40*12))</f>
        <v>599.76</v>
      </c>
      <c r="I45" s="95"/>
      <c r="J45" s="94">
        <f>SUM(J44+J40)</f>
        <v>539.78399999999999</v>
      </c>
      <c r="K45" s="95"/>
      <c r="L45" s="94">
        <f>SUM(L44+(L40*12))</f>
        <v>659.76</v>
      </c>
      <c r="M45" s="95"/>
      <c r="N45" s="94">
        <f>SUM(N44+N40)</f>
        <v>593.78399999999999</v>
      </c>
      <c r="O45" s="95"/>
      <c r="Q45" s="19">
        <f t="shared" ref="Q45:Q67" si="0">SUM(J45/H45)-1</f>
        <v>-9.9999999999999978E-2</v>
      </c>
      <c r="R45" s="19">
        <f>SUM(N45/L45)-1</f>
        <v>-9.9999999999999978E-2</v>
      </c>
    </row>
    <row r="46" spans="1:19" ht="15" customHeight="1" x14ac:dyDescent="0.3">
      <c r="A46" s="121"/>
      <c r="B46" s="122"/>
      <c r="D46" t="s">
        <v>2</v>
      </c>
      <c r="E46" s="1">
        <v>3</v>
      </c>
      <c r="H46" s="94">
        <f>SUM(H45+(H41*12))</f>
        <v>671.64</v>
      </c>
      <c r="I46" s="95"/>
      <c r="J46" s="94">
        <f>SUM(J45+J41)</f>
        <v>599.774</v>
      </c>
      <c r="K46" s="95"/>
      <c r="L46" s="94">
        <f>SUM(L45+(L41*12))</f>
        <v>731.64</v>
      </c>
      <c r="M46" s="95"/>
      <c r="N46" s="94">
        <f>SUM(N45+N41)</f>
        <v>653.774</v>
      </c>
      <c r="O46" s="95"/>
      <c r="Q46" s="19">
        <f t="shared" si="0"/>
        <v>-0.10700077422428678</v>
      </c>
      <c r="R46" s="19">
        <f>SUM(N46/L46)-1</f>
        <v>-0.10642665791919526</v>
      </c>
    </row>
    <row r="47" spans="1:19" ht="15" customHeight="1" x14ac:dyDescent="0.3">
      <c r="A47" s="121"/>
      <c r="B47" s="122"/>
      <c r="D47" t="s">
        <v>2</v>
      </c>
      <c r="E47" s="1">
        <v>4</v>
      </c>
      <c r="H47" s="94">
        <f>SUM(H46+(H41*12))</f>
        <v>743.52</v>
      </c>
      <c r="I47" s="95"/>
      <c r="J47" s="94">
        <f>SUM(J46+J41)</f>
        <v>659.76400000000001</v>
      </c>
      <c r="K47" s="95"/>
      <c r="L47" s="94">
        <f>SUM(L46+(L41*12))</f>
        <v>803.52</v>
      </c>
      <c r="M47" s="95"/>
      <c r="N47" s="94">
        <f>SUM(N46+N41)</f>
        <v>713.76400000000001</v>
      </c>
      <c r="O47" s="95"/>
      <c r="Q47" s="19">
        <f t="shared" si="0"/>
        <v>-0.11264794491069507</v>
      </c>
      <c r="R47" s="19">
        <f>SUM(N47/L47)-1</f>
        <v>-0.11170350457984868</v>
      </c>
    </row>
    <row r="48" spans="1:19" ht="15" customHeight="1" x14ac:dyDescent="0.3">
      <c r="A48" s="121"/>
      <c r="B48" s="122"/>
      <c r="D48" t="s">
        <v>2</v>
      </c>
      <c r="E48" s="1">
        <v>5</v>
      </c>
      <c r="H48" s="101">
        <f>SUM(H47+(H41*12))</f>
        <v>815.4</v>
      </c>
      <c r="I48" s="102"/>
      <c r="J48" s="101">
        <f>SUM(J47+J41)</f>
        <v>719.75400000000002</v>
      </c>
      <c r="K48" s="102"/>
      <c r="L48" s="101">
        <f>SUM(L47+(L41*12))</f>
        <v>875.4</v>
      </c>
      <c r="M48" s="102"/>
      <c r="N48" s="101">
        <f>SUM(N47+N41)</f>
        <v>773.75400000000002</v>
      </c>
      <c r="O48" s="102"/>
      <c r="Q48" s="19">
        <f t="shared" si="0"/>
        <v>-0.11729948491537889</v>
      </c>
      <c r="R48" s="19">
        <f>SUM(N48/L48)-1</f>
        <v>-0.11611377655928712</v>
      </c>
    </row>
    <row r="49" spans="1:18" ht="15" customHeight="1" x14ac:dyDescent="0.3">
      <c r="A49" s="121"/>
      <c r="B49" s="122"/>
      <c r="H49" s="80"/>
      <c r="I49" s="80"/>
      <c r="J49" s="80"/>
      <c r="K49" s="80"/>
      <c r="L49" s="80"/>
      <c r="M49" s="80"/>
      <c r="N49" s="80"/>
      <c r="O49" s="80"/>
      <c r="Q49" s="19"/>
      <c r="R49" s="19"/>
    </row>
    <row r="50" spans="1:18" ht="15" customHeight="1" x14ac:dyDescent="0.3">
      <c r="A50" s="121"/>
      <c r="B50" s="122"/>
      <c r="D50" t="s">
        <v>3</v>
      </c>
      <c r="E50" s="1">
        <v>1</v>
      </c>
      <c r="H50" s="96">
        <f>SUM(H44/13)</f>
        <v>27.683076923076921</v>
      </c>
      <c r="I50" s="97"/>
      <c r="J50" s="96">
        <f>SUM(J44/13)</f>
        <v>24.914769230769231</v>
      </c>
      <c r="K50" s="97"/>
      <c r="L50" s="96">
        <f t="shared" ref="L50" si="1">SUM(L44/13)</f>
        <v>32.298461538461538</v>
      </c>
      <c r="M50" s="97"/>
      <c r="N50" s="96">
        <f t="shared" ref="N50" si="2">SUM(N44/13)</f>
        <v>29.068615384615384</v>
      </c>
      <c r="O50" s="97"/>
      <c r="Q50" s="19">
        <f t="shared" si="0"/>
        <v>-9.9999999999999978E-2</v>
      </c>
      <c r="R50" s="19">
        <f>SUM(N50/L50)-1</f>
        <v>-9.9999999999999978E-2</v>
      </c>
    </row>
    <row r="51" spans="1:18" ht="15" customHeight="1" x14ac:dyDescent="0.3">
      <c r="A51" s="121"/>
      <c r="B51" s="122"/>
      <c r="D51" t="s">
        <v>3</v>
      </c>
      <c r="E51" s="1">
        <v>2</v>
      </c>
      <c r="H51" s="94">
        <f t="shared" ref="H51:H54" si="3">SUM(H45/13)</f>
        <v>46.135384615384616</v>
      </c>
      <c r="I51" s="95"/>
      <c r="J51" s="94">
        <f t="shared" ref="J51" si="4">SUM(J45/13)</f>
        <v>41.521846153846155</v>
      </c>
      <c r="K51" s="95"/>
      <c r="L51" s="94">
        <f t="shared" ref="L51" si="5">SUM(L45/13)</f>
        <v>50.75076923076923</v>
      </c>
      <c r="M51" s="95"/>
      <c r="N51" s="94">
        <f t="shared" ref="N51" si="6">SUM(N45/13)</f>
        <v>45.675692307692309</v>
      </c>
      <c r="O51" s="95"/>
      <c r="Q51" s="19">
        <f t="shared" si="0"/>
        <v>-9.9999999999999978E-2</v>
      </c>
      <c r="R51" s="19">
        <f>SUM(N51/L51)-1</f>
        <v>-9.9999999999999978E-2</v>
      </c>
    </row>
    <row r="52" spans="1:18" ht="15" customHeight="1" x14ac:dyDescent="0.3">
      <c r="A52" s="121"/>
      <c r="B52" s="122"/>
      <c r="D52" t="s">
        <v>3</v>
      </c>
      <c r="E52" s="1">
        <v>3</v>
      </c>
      <c r="H52" s="94">
        <f t="shared" si="3"/>
        <v>51.664615384615381</v>
      </c>
      <c r="I52" s="95"/>
      <c r="J52" s="94">
        <f t="shared" ref="J52" si="7">SUM(J46/13)</f>
        <v>46.136461538461539</v>
      </c>
      <c r="K52" s="95"/>
      <c r="L52" s="94">
        <f t="shared" ref="L52" si="8">SUM(L46/13)</f>
        <v>56.28</v>
      </c>
      <c r="M52" s="95"/>
      <c r="N52" s="94">
        <f t="shared" ref="N52" si="9">SUM(N46/13)</f>
        <v>50.290307692307692</v>
      </c>
      <c r="O52" s="95"/>
      <c r="Q52" s="19">
        <f t="shared" si="0"/>
        <v>-0.10700077422428678</v>
      </c>
      <c r="R52" s="19">
        <f>SUM(N52/L52)-1</f>
        <v>-0.10642665791919526</v>
      </c>
    </row>
    <row r="53" spans="1:18" ht="15" customHeight="1" x14ac:dyDescent="0.3">
      <c r="A53" s="121"/>
      <c r="B53" s="122"/>
      <c r="D53" t="s">
        <v>3</v>
      </c>
      <c r="E53" s="1">
        <v>4</v>
      </c>
      <c r="H53" s="94">
        <f t="shared" si="3"/>
        <v>57.193846153846152</v>
      </c>
      <c r="I53" s="95"/>
      <c r="J53" s="94">
        <f t="shared" ref="J53" si="10">SUM(J47/13)</f>
        <v>50.751076923076923</v>
      </c>
      <c r="K53" s="95"/>
      <c r="L53" s="94">
        <f t="shared" ref="L53" si="11">SUM(L47/13)</f>
        <v>61.809230769230766</v>
      </c>
      <c r="M53" s="95"/>
      <c r="N53" s="94">
        <f t="shared" ref="N53" si="12">SUM(N47/13)</f>
        <v>54.904923076923076</v>
      </c>
      <c r="O53" s="95"/>
      <c r="Q53" s="19">
        <f t="shared" si="0"/>
        <v>-0.11264794491069507</v>
      </c>
      <c r="R53" s="19">
        <f>SUM(N53/L53)-1</f>
        <v>-0.11170350457984868</v>
      </c>
    </row>
    <row r="54" spans="1:18" ht="15" customHeight="1" x14ac:dyDescent="0.3">
      <c r="A54" s="121"/>
      <c r="B54" s="122"/>
      <c r="D54" t="s">
        <v>3</v>
      </c>
      <c r="E54" s="1">
        <v>5</v>
      </c>
      <c r="H54" s="101">
        <f t="shared" si="3"/>
        <v>62.723076923076924</v>
      </c>
      <c r="I54" s="102"/>
      <c r="J54" s="101">
        <f t="shared" ref="J54" si="13">SUM(J48/13)</f>
        <v>55.365692307692306</v>
      </c>
      <c r="K54" s="102"/>
      <c r="L54" s="101">
        <f t="shared" ref="L54" si="14">SUM(L48/13)</f>
        <v>67.33846153846153</v>
      </c>
      <c r="M54" s="102"/>
      <c r="N54" s="101">
        <f t="shared" ref="N54" si="15">SUM(N48/13)</f>
        <v>59.51953846153846</v>
      </c>
      <c r="O54" s="102"/>
      <c r="Q54" s="19">
        <f t="shared" si="0"/>
        <v>-0.117299484915379</v>
      </c>
      <c r="R54" s="19">
        <f>SUM(N54/L54)-1</f>
        <v>-0.11611377655928712</v>
      </c>
    </row>
    <row r="55" spans="1:18" ht="15" customHeight="1" x14ac:dyDescent="0.3">
      <c r="A55" s="121"/>
      <c r="B55" s="122"/>
      <c r="H55" s="80"/>
      <c r="I55" s="80"/>
      <c r="J55" s="80"/>
      <c r="K55" s="80"/>
      <c r="L55" s="80"/>
      <c r="M55" s="80"/>
      <c r="N55" s="80"/>
      <c r="O55" s="80"/>
      <c r="Q55" s="19"/>
      <c r="R55" s="19"/>
    </row>
    <row r="56" spans="1:18" ht="15" customHeight="1" x14ac:dyDescent="0.3">
      <c r="A56" s="121"/>
      <c r="B56" s="122"/>
      <c r="D56" s="5" t="s">
        <v>0</v>
      </c>
      <c r="E56" s="3"/>
      <c r="H56" s="80"/>
      <c r="I56" s="80"/>
      <c r="J56" s="80"/>
      <c r="K56" s="80"/>
      <c r="L56" s="80"/>
      <c r="M56" s="80"/>
      <c r="N56" s="80"/>
      <c r="O56" s="80"/>
      <c r="Q56" s="19"/>
      <c r="R56" s="19"/>
    </row>
    <row r="57" spans="1:18" ht="15" customHeight="1" x14ac:dyDescent="0.3">
      <c r="A57" s="121"/>
      <c r="B57" s="122"/>
      <c r="D57" t="s">
        <v>2</v>
      </c>
      <c r="E57" s="1">
        <v>1</v>
      </c>
      <c r="H57" s="96">
        <f>SUM(H44*0.8)</f>
        <v>287.904</v>
      </c>
      <c r="I57" s="97"/>
      <c r="J57" s="96">
        <f>SUM(J44*0.8)</f>
        <v>259.11360000000002</v>
      </c>
      <c r="K57" s="97"/>
      <c r="L57" s="96">
        <f>SUM(L44*0.8)</f>
        <v>335.904</v>
      </c>
      <c r="M57" s="97"/>
      <c r="N57" s="96">
        <f>SUM(N44*0.8)</f>
        <v>302.31360000000001</v>
      </c>
      <c r="O57" s="97"/>
      <c r="Q57" s="19">
        <f t="shared" si="0"/>
        <v>-9.9999999999999867E-2</v>
      </c>
      <c r="R57" s="19">
        <f>SUM(N57/L57)-1</f>
        <v>-9.9999999999999978E-2</v>
      </c>
    </row>
    <row r="58" spans="1:18" ht="15" customHeight="1" x14ac:dyDescent="0.3">
      <c r="A58" s="121"/>
      <c r="B58" s="122"/>
      <c r="D58" t="s">
        <v>2</v>
      </c>
      <c r="E58" s="1">
        <v>2</v>
      </c>
      <c r="H58" s="94">
        <f t="shared" ref="H58:H61" si="16">SUM(H45*0.8)</f>
        <v>479.80799999999999</v>
      </c>
      <c r="I58" s="95"/>
      <c r="J58" s="94">
        <f t="shared" ref="J58" si="17">SUM(J45*0.8)</f>
        <v>431.8272</v>
      </c>
      <c r="K58" s="95"/>
      <c r="L58" s="94">
        <f t="shared" ref="L58" si="18">SUM(L45*0.8)</f>
        <v>527.80799999999999</v>
      </c>
      <c r="M58" s="95"/>
      <c r="N58" s="94">
        <f t="shared" ref="N58" si="19">SUM(N45*0.8)</f>
        <v>475.02719999999999</v>
      </c>
      <c r="O58" s="95"/>
      <c r="Q58" s="19">
        <f t="shared" si="0"/>
        <v>-9.9999999999999978E-2</v>
      </c>
      <c r="R58" s="19">
        <f>SUM(N58/L58)-1</f>
        <v>-9.9999999999999978E-2</v>
      </c>
    </row>
    <row r="59" spans="1:18" ht="15" customHeight="1" x14ac:dyDescent="0.3">
      <c r="A59" s="121"/>
      <c r="B59" s="122"/>
      <c r="D59" t="s">
        <v>2</v>
      </c>
      <c r="E59" s="1">
        <v>3</v>
      </c>
      <c r="H59" s="94">
        <f t="shared" si="16"/>
        <v>537.31200000000001</v>
      </c>
      <c r="I59" s="95"/>
      <c r="J59" s="94">
        <f t="shared" ref="J59" si="20">SUM(J46*0.8)</f>
        <v>479.81920000000002</v>
      </c>
      <c r="K59" s="95"/>
      <c r="L59" s="94">
        <f t="shared" ref="L59" si="21">SUM(L46*0.8)</f>
        <v>585.31200000000001</v>
      </c>
      <c r="M59" s="95"/>
      <c r="N59" s="94">
        <f t="shared" ref="N59" si="22">SUM(N46*0.8)</f>
        <v>523.01920000000007</v>
      </c>
      <c r="O59" s="95"/>
      <c r="Q59" s="19">
        <f t="shared" si="0"/>
        <v>-0.10700077422428678</v>
      </c>
      <c r="R59" s="19">
        <f>SUM(N59/L59)-1</f>
        <v>-0.10642665791919514</v>
      </c>
    </row>
    <row r="60" spans="1:18" ht="15" customHeight="1" x14ac:dyDescent="0.3">
      <c r="A60" s="121"/>
      <c r="B60" s="122"/>
      <c r="D60" t="s">
        <v>2</v>
      </c>
      <c r="E60" s="1">
        <v>4</v>
      </c>
      <c r="H60" s="94">
        <f t="shared" si="16"/>
        <v>594.81600000000003</v>
      </c>
      <c r="I60" s="95"/>
      <c r="J60" s="94">
        <f t="shared" ref="J60" si="23">SUM(J47*0.8)</f>
        <v>527.81119999999999</v>
      </c>
      <c r="K60" s="95"/>
      <c r="L60" s="94">
        <f t="shared" ref="L60" si="24">SUM(L47*0.8)</f>
        <v>642.81600000000003</v>
      </c>
      <c r="M60" s="95"/>
      <c r="N60" s="94">
        <f t="shared" ref="N60" si="25">SUM(N47*0.8)</f>
        <v>571.01120000000003</v>
      </c>
      <c r="O60" s="95"/>
      <c r="Q60" s="19">
        <f t="shared" si="0"/>
        <v>-0.11264794491069519</v>
      </c>
      <c r="R60" s="19">
        <f>SUM(N60/L60)-1</f>
        <v>-0.11170350457984868</v>
      </c>
    </row>
    <row r="61" spans="1:18" ht="15" customHeight="1" x14ac:dyDescent="0.3">
      <c r="A61" s="121"/>
      <c r="B61" s="122"/>
      <c r="D61" t="s">
        <v>2</v>
      </c>
      <c r="E61" s="1">
        <v>5</v>
      </c>
      <c r="H61" s="101">
        <f t="shared" si="16"/>
        <v>652.32000000000005</v>
      </c>
      <c r="I61" s="102"/>
      <c r="J61" s="101">
        <f t="shared" ref="J61" si="26">SUM(J48*0.8)</f>
        <v>575.80320000000006</v>
      </c>
      <c r="K61" s="102"/>
      <c r="L61" s="101">
        <f t="shared" ref="L61" si="27">SUM(L48*0.8)</f>
        <v>700.32</v>
      </c>
      <c r="M61" s="102"/>
      <c r="N61" s="101">
        <f t="shared" ref="N61" si="28">SUM(N48*0.8)</f>
        <v>619.00320000000011</v>
      </c>
      <c r="O61" s="102"/>
      <c r="Q61" s="19">
        <f t="shared" si="0"/>
        <v>-0.11729948491537889</v>
      </c>
      <c r="R61" s="19">
        <f>SUM(N61/L61)-1</f>
        <v>-0.11611377655928712</v>
      </c>
    </row>
    <row r="62" spans="1:18" ht="15" customHeight="1" x14ac:dyDescent="0.3">
      <c r="A62" s="121"/>
      <c r="B62" s="122"/>
      <c r="H62" s="80"/>
      <c r="I62" s="80"/>
      <c r="J62" s="80"/>
      <c r="K62" s="80"/>
      <c r="L62" s="80"/>
      <c r="M62" s="80"/>
      <c r="N62" s="80"/>
      <c r="O62" s="80"/>
      <c r="Q62" s="19"/>
      <c r="R62" s="19"/>
    </row>
    <row r="63" spans="1:18" ht="15" customHeight="1" x14ac:dyDescent="0.3">
      <c r="A63" s="121"/>
      <c r="B63" s="122"/>
      <c r="D63" t="s">
        <v>3</v>
      </c>
      <c r="E63" s="1">
        <v>1</v>
      </c>
      <c r="H63" s="96">
        <f>SUM(H57/13)</f>
        <v>22.146461538461537</v>
      </c>
      <c r="I63" s="97"/>
      <c r="J63" s="96">
        <f>SUM(J57/13)</f>
        <v>19.931815384615387</v>
      </c>
      <c r="K63" s="97"/>
      <c r="L63" s="96">
        <f>SUM(L57/13)</f>
        <v>25.83876923076923</v>
      </c>
      <c r="M63" s="97"/>
      <c r="N63" s="96">
        <f>SUM(N57/13)</f>
        <v>23.254892307692309</v>
      </c>
      <c r="O63" s="97"/>
      <c r="Q63" s="19">
        <f t="shared" si="0"/>
        <v>-9.9999999999999867E-2</v>
      </c>
      <c r="R63" s="19">
        <f>SUM(N63/L63)-1</f>
        <v>-9.9999999999999978E-2</v>
      </c>
    </row>
    <row r="64" spans="1:18" ht="15" customHeight="1" x14ac:dyDescent="0.3">
      <c r="A64" s="121"/>
      <c r="B64" s="122"/>
      <c r="D64" t="s">
        <v>3</v>
      </c>
      <c r="E64" s="1">
        <v>2</v>
      </c>
      <c r="H64" s="94">
        <f t="shared" ref="H64" si="29">SUM(H58/13)</f>
        <v>36.908307692307694</v>
      </c>
      <c r="I64" s="95"/>
      <c r="J64" s="94">
        <f t="shared" ref="J64" si="30">SUM(J58/13)</f>
        <v>33.217476923076923</v>
      </c>
      <c r="K64" s="95"/>
      <c r="L64" s="94">
        <f t="shared" ref="L64" si="31">SUM(L58/13)</f>
        <v>40.600615384615381</v>
      </c>
      <c r="M64" s="95"/>
      <c r="N64" s="94">
        <f t="shared" ref="N64" si="32">SUM(N58/13)</f>
        <v>36.540553846153848</v>
      </c>
      <c r="O64" s="95"/>
      <c r="Q64" s="19">
        <f t="shared" si="0"/>
        <v>-0.10000000000000009</v>
      </c>
      <c r="R64" s="19">
        <f>SUM(N64/L64)-1</f>
        <v>-9.9999999999999867E-2</v>
      </c>
    </row>
    <row r="65" spans="1:18" ht="15" customHeight="1" x14ac:dyDescent="0.3">
      <c r="A65" s="121"/>
      <c r="B65" s="122"/>
      <c r="D65" t="s">
        <v>3</v>
      </c>
      <c r="E65" s="1">
        <v>3</v>
      </c>
      <c r="H65" s="94">
        <f t="shared" ref="H65" si="33">SUM(H59/13)</f>
        <v>41.331692307692308</v>
      </c>
      <c r="I65" s="95"/>
      <c r="J65" s="94">
        <f t="shared" ref="J65" si="34">SUM(J59/13)</f>
        <v>36.90916923076923</v>
      </c>
      <c r="K65" s="95"/>
      <c r="L65" s="94">
        <f t="shared" ref="L65" si="35">SUM(L59/13)</f>
        <v>45.024000000000001</v>
      </c>
      <c r="M65" s="95"/>
      <c r="N65" s="94">
        <f t="shared" ref="N65" si="36">SUM(N59/13)</f>
        <v>40.232246153846162</v>
      </c>
      <c r="O65" s="95"/>
      <c r="Q65" s="19">
        <f t="shared" si="0"/>
        <v>-0.10700077422428689</v>
      </c>
      <c r="R65" s="19">
        <f>SUM(N65/L65)-1</f>
        <v>-0.10642665791919503</v>
      </c>
    </row>
    <row r="66" spans="1:18" x14ac:dyDescent="0.3">
      <c r="A66" s="121"/>
      <c r="B66" s="122"/>
      <c r="D66" t="s">
        <v>3</v>
      </c>
      <c r="E66" s="1">
        <v>4</v>
      </c>
      <c r="H66" s="94">
        <f t="shared" ref="H66" si="37">SUM(H60/13)</f>
        <v>45.755076923076928</v>
      </c>
      <c r="I66" s="95"/>
      <c r="J66" s="94">
        <f t="shared" ref="J66" si="38">SUM(J60/13)</f>
        <v>40.600861538461537</v>
      </c>
      <c r="K66" s="95"/>
      <c r="L66" s="94">
        <f t="shared" ref="L66" si="39">SUM(L60/13)</f>
        <v>49.447384615384621</v>
      </c>
      <c r="M66" s="95"/>
      <c r="N66" s="94">
        <f t="shared" ref="N66" si="40">SUM(N60/13)</f>
        <v>43.923938461538462</v>
      </c>
      <c r="O66" s="95"/>
      <c r="Q66" s="19">
        <f t="shared" si="0"/>
        <v>-0.11264794491069519</v>
      </c>
      <c r="R66" s="19">
        <f>SUM(N66/L66)-1</f>
        <v>-0.11170350457984879</v>
      </c>
    </row>
    <row r="67" spans="1:18" x14ac:dyDescent="0.3">
      <c r="A67" s="123"/>
      <c r="B67" s="124"/>
      <c r="D67" t="s">
        <v>3</v>
      </c>
      <c r="E67" s="1">
        <v>5</v>
      </c>
      <c r="H67" s="101">
        <f t="shared" ref="H67" si="41">SUM(H61/13)</f>
        <v>50.178461538461541</v>
      </c>
      <c r="I67" s="102"/>
      <c r="J67" s="101">
        <f t="shared" ref="J67" si="42">SUM(J61/13)</f>
        <v>44.292553846153851</v>
      </c>
      <c r="K67" s="102"/>
      <c r="L67" s="101">
        <f t="shared" ref="L67" si="43">SUM(L61/13)</f>
        <v>53.870769230769234</v>
      </c>
      <c r="M67" s="102"/>
      <c r="N67" s="101">
        <f t="shared" ref="N67" si="44">SUM(N61/13)</f>
        <v>47.615630769230776</v>
      </c>
      <c r="O67" s="102"/>
      <c r="Q67" s="19">
        <f t="shared" si="0"/>
        <v>-0.11729948491537889</v>
      </c>
      <c r="R67" s="19">
        <f>SUM(N67/L67)-1</f>
        <v>-0.11611377655928712</v>
      </c>
    </row>
    <row r="68" spans="1:18" x14ac:dyDescent="0.3">
      <c r="E68" s="2"/>
      <c r="F68" s="2"/>
      <c r="G68" s="2"/>
      <c r="H68" s="2"/>
      <c r="I68" s="2"/>
      <c r="J68" s="2"/>
      <c r="K68" s="2"/>
      <c r="L68" s="2"/>
    </row>
    <row r="69" spans="1:18" x14ac:dyDescent="0.3">
      <c r="E69" s="2"/>
      <c r="F69" s="2"/>
      <c r="G69" s="2"/>
      <c r="H69" s="2"/>
      <c r="I69" s="2"/>
      <c r="J69" s="2"/>
      <c r="K69" s="2"/>
      <c r="L69" s="2"/>
    </row>
    <row r="70" spans="1:18" ht="14.4" customHeight="1" x14ac:dyDescent="0.3">
      <c r="A70" s="119" t="s">
        <v>37</v>
      </c>
      <c r="B70" s="120"/>
      <c r="D70" t="s">
        <v>262</v>
      </c>
      <c r="E70" s="2"/>
      <c r="F70" s="2"/>
      <c r="G70" s="2"/>
      <c r="H70" s="96">
        <f>SUM(H39*12)</f>
        <v>359.88</v>
      </c>
      <c r="I70" s="97"/>
      <c r="J70" s="96">
        <f>+J39</f>
        <v>323.892</v>
      </c>
      <c r="K70" s="97"/>
      <c r="L70" s="96">
        <f>SUM(L39*12)</f>
        <v>419.88</v>
      </c>
      <c r="M70" s="97"/>
      <c r="N70" s="96">
        <f>+N39</f>
        <v>377.892</v>
      </c>
      <c r="O70" s="97"/>
      <c r="Q70" s="19">
        <f>SUM(J70/H70)-1</f>
        <v>-9.9999999999999978E-2</v>
      </c>
      <c r="R70" s="19">
        <f>SUM(N70/L70)-1</f>
        <v>-9.9999999999999978E-2</v>
      </c>
    </row>
    <row r="71" spans="1:18" ht="14.4" customHeight="1" x14ac:dyDescent="0.3">
      <c r="A71" s="121"/>
      <c r="B71" s="122"/>
      <c r="D71" t="s">
        <v>263</v>
      </c>
      <c r="E71" s="2"/>
      <c r="F71" s="2"/>
      <c r="G71" s="2"/>
      <c r="H71" s="101">
        <f>SUM(H39+H40)*12</f>
        <v>599.76</v>
      </c>
      <c r="I71" s="102"/>
      <c r="J71" s="101">
        <f>+J39+J40</f>
        <v>539.78399999999999</v>
      </c>
      <c r="K71" s="102"/>
      <c r="L71" s="101">
        <f>SUM(L39+L40)*12</f>
        <v>659.76</v>
      </c>
      <c r="M71" s="102"/>
      <c r="N71" s="101">
        <f>+N39+N40</f>
        <v>593.78399999999999</v>
      </c>
      <c r="O71" s="102"/>
      <c r="Q71" s="19">
        <f t="shared" ref="Q71" si="45">SUM(J71/H71)-1</f>
        <v>-9.9999999999999978E-2</v>
      </c>
      <c r="R71" s="19">
        <f>SUM(N71/L71)-1</f>
        <v>-9.9999999999999978E-2</v>
      </c>
    </row>
    <row r="72" spans="1:18" ht="14.4" customHeight="1" x14ac:dyDescent="0.3">
      <c r="A72" s="121"/>
      <c r="B72" s="122"/>
      <c r="E72" s="2"/>
      <c r="F72" s="2"/>
      <c r="G72" s="2"/>
    </row>
    <row r="73" spans="1:18" ht="14.4" customHeight="1" x14ac:dyDescent="0.3">
      <c r="A73" s="121"/>
      <c r="B73" s="122"/>
      <c r="D73" t="s">
        <v>266</v>
      </c>
      <c r="E73" s="2"/>
      <c r="F73" s="2"/>
      <c r="G73" s="2"/>
      <c r="H73" s="96">
        <f>SUM(H70/13)</f>
        <v>27.683076923076921</v>
      </c>
      <c r="I73" s="97"/>
      <c r="J73" s="96">
        <f>SUM(J70/13)</f>
        <v>24.914769230769231</v>
      </c>
      <c r="K73" s="97"/>
      <c r="L73" s="96">
        <f>SUM(L70/13)</f>
        <v>32.298461538461538</v>
      </c>
      <c r="M73" s="97"/>
      <c r="N73" s="96">
        <f>SUM(N70/13)</f>
        <v>29.068615384615384</v>
      </c>
      <c r="O73" s="97"/>
      <c r="Q73" s="19">
        <f t="shared" ref="Q73:Q74" si="46">SUM(J73/H73)-1</f>
        <v>-9.9999999999999978E-2</v>
      </c>
      <c r="R73" s="19">
        <f>SUM(N73/L73)-1</f>
        <v>-9.9999999999999978E-2</v>
      </c>
    </row>
    <row r="74" spans="1:18" ht="14.4" customHeight="1" x14ac:dyDescent="0.3">
      <c r="A74" s="121"/>
      <c r="B74" s="122"/>
      <c r="D74" t="s">
        <v>267</v>
      </c>
      <c r="E74" s="2"/>
      <c r="F74" s="2"/>
      <c r="G74" s="2"/>
      <c r="H74" s="101">
        <f>SUM(H71/13)</f>
        <v>46.135384615384616</v>
      </c>
      <c r="I74" s="102"/>
      <c r="J74" s="101">
        <f>SUM(J71/13)</f>
        <v>41.521846153846155</v>
      </c>
      <c r="K74" s="102"/>
      <c r="L74" s="101">
        <f>SUM(L71/13)</f>
        <v>50.75076923076923</v>
      </c>
      <c r="M74" s="102"/>
      <c r="N74" s="101">
        <f>SUM(N71/13)</f>
        <v>45.675692307692309</v>
      </c>
      <c r="O74" s="102"/>
      <c r="Q74" s="19">
        <f t="shared" si="46"/>
        <v>-9.9999999999999978E-2</v>
      </c>
      <c r="R74" s="19">
        <f>SUM(N74/L74)-1</f>
        <v>-9.9999999999999978E-2</v>
      </c>
    </row>
    <row r="75" spans="1:18" ht="14.4" customHeight="1" x14ac:dyDescent="0.3">
      <c r="A75" s="121"/>
      <c r="B75" s="122"/>
      <c r="E75" s="2"/>
      <c r="F75" s="2"/>
      <c r="G75" s="2"/>
    </row>
    <row r="76" spans="1:18" ht="14.4" customHeight="1" x14ac:dyDescent="0.3">
      <c r="A76" s="121"/>
      <c r="B76" s="122"/>
      <c r="D76" s="5" t="s">
        <v>0</v>
      </c>
      <c r="E76" s="2"/>
      <c r="F76" s="2"/>
      <c r="G76" s="2"/>
    </row>
    <row r="77" spans="1:18" ht="14.4" customHeight="1" x14ac:dyDescent="0.3">
      <c r="A77" s="121"/>
      <c r="B77" s="122"/>
      <c r="D77" t="s">
        <v>262</v>
      </c>
      <c r="E77" s="2"/>
      <c r="F77" s="2"/>
      <c r="G77" s="2"/>
      <c r="H77" s="96">
        <f>SUM(H70*0.8)</f>
        <v>287.904</v>
      </c>
      <c r="I77" s="97"/>
      <c r="J77" s="96">
        <f>SUM(J70*0.8)</f>
        <v>259.11360000000002</v>
      </c>
      <c r="K77" s="97"/>
      <c r="L77" s="96">
        <f>SUM(L70*0.8)</f>
        <v>335.904</v>
      </c>
      <c r="M77" s="97"/>
      <c r="N77" s="96">
        <f>SUM(N70*0.8)</f>
        <v>302.31360000000001</v>
      </c>
      <c r="O77" s="97"/>
      <c r="Q77" s="19">
        <f>SUM(J77/H77)-1</f>
        <v>-9.9999999999999867E-2</v>
      </c>
      <c r="R77" s="19">
        <f>SUM(N77/L77)-1</f>
        <v>-9.9999999999999978E-2</v>
      </c>
    </row>
    <row r="78" spans="1:18" ht="14.4" customHeight="1" x14ac:dyDescent="0.3">
      <c r="A78" s="121"/>
      <c r="B78" s="122"/>
      <c r="D78" t="s">
        <v>263</v>
      </c>
      <c r="E78" s="2"/>
      <c r="F78" s="2"/>
      <c r="G78" s="2"/>
      <c r="H78" s="101">
        <f>SUM(H71*0.8)</f>
        <v>479.80799999999999</v>
      </c>
      <c r="I78" s="102"/>
      <c r="J78" s="101">
        <f>SUM(J71*0.8)</f>
        <v>431.8272</v>
      </c>
      <c r="K78" s="102"/>
      <c r="L78" s="101">
        <f>SUM(L71*0.8)</f>
        <v>527.80799999999999</v>
      </c>
      <c r="M78" s="102"/>
      <c r="N78" s="101">
        <f>SUM(N71*0.8)</f>
        <v>475.02719999999999</v>
      </c>
      <c r="O78" s="102"/>
      <c r="Q78" s="19">
        <f t="shared" ref="Q78" si="47">SUM(J78/H78)-1</f>
        <v>-9.9999999999999978E-2</v>
      </c>
      <c r="R78" s="19">
        <f>SUM(N78/L78)-1</f>
        <v>-9.9999999999999978E-2</v>
      </c>
    </row>
    <row r="79" spans="1:18" ht="14.4" customHeight="1" x14ac:dyDescent="0.3">
      <c r="A79" s="121"/>
      <c r="B79" s="122"/>
    </row>
    <row r="80" spans="1:18" ht="14.4" customHeight="1" x14ac:dyDescent="0.3">
      <c r="A80" s="121"/>
      <c r="B80" s="122"/>
      <c r="D80" t="s">
        <v>266</v>
      </c>
      <c r="E80" s="2"/>
      <c r="F80" s="2"/>
      <c r="G80" s="2"/>
      <c r="H80" s="96">
        <f>SUM(H77/13)</f>
        <v>22.146461538461537</v>
      </c>
      <c r="I80" s="97"/>
      <c r="J80" s="96">
        <f>SUM(J77/13)</f>
        <v>19.931815384615387</v>
      </c>
      <c r="K80" s="97"/>
      <c r="L80" s="96">
        <f>SUM(L77/13)</f>
        <v>25.83876923076923</v>
      </c>
      <c r="M80" s="97"/>
      <c r="N80" s="96">
        <f>SUM(N77/13)</f>
        <v>23.254892307692309</v>
      </c>
      <c r="O80" s="97"/>
      <c r="Q80" s="19">
        <f t="shared" ref="Q80:Q81" si="48">SUM(J80/H80)-1</f>
        <v>-9.9999999999999867E-2</v>
      </c>
      <c r="R80" s="19">
        <f>SUM(N80/L80)-1</f>
        <v>-9.9999999999999978E-2</v>
      </c>
    </row>
    <row r="81" spans="1:41" ht="14.4" customHeight="1" x14ac:dyDescent="0.3">
      <c r="A81" s="123"/>
      <c r="B81" s="124"/>
      <c r="D81" t="s">
        <v>267</v>
      </c>
      <c r="E81" s="2"/>
      <c r="F81" s="2"/>
      <c r="G81" s="2"/>
      <c r="H81" s="101">
        <f>SUM(H78/13)</f>
        <v>36.908307692307694</v>
      </c>
      <c r="I81" s="102"/>
      <c r="J81" s="101">
        <f>SUM(J78/13)</f>
        <v>33.217476923076923</v>
      </c>
      <c r="K81" s="102"/>
      <c r="L81" s="101">
        <f>SUM(L78/13)</f>
        <v>40.600615384615381</v>
      </c>
      <c r="M81" s="102"/>
      <c r="N81" s="101">
        <f>SUM(N78/13)</f>
        <v>36.540553846153848</v>
      </c>
      <c r="O81" s="102"/>
      <c r="Q81" s="19">
        <f t="shared" si="48"/>
        <v>-0.10000000000000009</v>
      </c>
      <c r="R81" s="19">
        <f>SUM(N81/L81)-1</f>
        <v>-9.9999999999999867E-2</v>
      </c>
    </row>
    <row r="82" spans="1:41" ht="14.4" customHeight="1" x14ac:dyDescent="0.3"/>
    <row r="83" spans="1:41" ht="14.4" customHeight="1" x14ac:dyDescent="0.3">
      <c r="D83" s="4" t="s">
        <v>264</v>
      </c>
      <c r="E83" s="4"/>
      <c r="F83" s="4"/>
      <c r="G83" s="4"/>
    </row>
    <row r="84" spans="1:41" ht="14.4" customHeight="1" x14ac:dyDescent="0.3">
      <c r="D84" s="22" t="s">
        <v>44</v>
      </c>
      <c r="E84" s="22"/>
      <c r="F84" s="22"/>
      <c r="G84" s="22"/>
    </row>
    <row r="85" spans="1:41" x14ac:dyDescent="0.3">
      <c r="D85" s="81" t="s">
        <v>261</v>
      </c>
      <c r="E85" s="81"/>
      <c r="F85" s="81"/>
      <c r="G85" s="81"/>
    </row>
    <row r="87" spans="1:41" ht="15.6" x14ac:dyDescent="0.3">
      <c r="S87" s="186" t="s">
        <v>274</v>
      </c>
      <c r="T87" s="186"/>
      <c r="U87" s="186"/>
      <c r="V87" s="186"/>
      <c r="W87" s="186"/>
      <c r="X87" s="186"/>
      <c r="Y87" s="186"/>
      <c r="AA87" s="186" t="s">
        <v>275</v>
      </c>
      <c r="AB87" s="186"/>
      <c r="AC87" s="186"/>
      <c r="AD87" s="186"/>
      <c r="AE87" s="186"/>
      <c r="AF87" s="186"/>
      <c r="AG87" s="186"/>
      <c r="AI87" s="186" t="s">
        <v>276</v>
      </c>
      <c r="AJ87" s="186"/>
      <c r="AK87" s="186"/>
      <c r="AL87" s="186"/>
      <c r="AM87" s="186"/>
      <c r="AN87" s="186"/>
      <c r="AO87" s="186"/>
    </row>
    <row r="88" spans="1:41" x14ac:dyDescent="0.3">
      <c r="T88" s="130" t="s">
        <v>42</v>
      </c>
      <c r="U88" s="130"/>
      <c r="V88" s="130"/>
      <c r="W88" s="130" t="s">
        <v>41</v>
      </c>
      <c r="X88" s="130"/>
      <c r="Y88" s="130"/>
      <c r="AB88" s="130" t="s">
        <v>42</v>
      </c>
      <c r="AC88" s="130"/>
      <c r="AD88" s="130"/>
      <c r="AE88" s="130" t="s">
        <v>41</v>
      </c>
      <c r="AF88" s="130"/>
      <c r="AG88" s="130"/>
      <c r="AJ88" s="130" t="s">
        <v>42</v>
      </c>
      <c r="AK88" s="130"/>
      <c r="AL88" s="130"/>
      <c r="AM88" s="130" t="s">
        <v>41</v>
      </c>
      <c r="AN88" s="130"/>
      <c r="AO88" s="130"/>
    </row>
    <row r="89" spans="1:41" ht="14.4" customHeight="1" x14ac:dyDescent="0.3">
      <c r="S89" s="129" t="s">
        <v>26</v>
      </c>
      <c r="T89" s="187" t="s">
        <v>279</v>
      </c>
      <c r="U89" s="187"/>
      <c r="V89" s="187"/>
      <c r="W89" s="189" t="s">
        <v>279</v>
      </c>
      <c r="X89" s="189"/>
      <c r="Y89" s="189"/>
      <c r="AA89" s="129" t="s">
        <v>26</v>
      </c>
      <c r="AB89" s="187" t="s">
        <v>279</v>
      </c>
      <c r="AC89" s="187"/>
      <c r="AD89" s="187"/>
      <c r="AE89" s="189" t="s">
        <v>279</v>
      </c>
      <c r="AF89" s="189"/>
      <c r="AG89" s="189"/>
      <c r="AI89" s="129" t="s">
        <v>26</v>
      </c>
      <c r="AJ89" s="187" t="s">
        <v>279</v>
      </c>
      <c r="AK89" s="187"/>
      <c r="AL89" s="187"/>
      <c r="AM89" s="189" t="s">
        <v>279</v>
      </c>
      <c r="AN89" s="189"/>
      <c r="AO89" s="189"/>
    </row>
    <row r="90" spans="1:41" ht="14.4" customHeight="1" x14ac:dyDescent="0.3">
      <c r="S90" s="129"/>
      <c r="T90" s="187"/>
      <c r="U90" s="187"/>
      <c r="V90" s="187"/>
      <c r="W90" s="189"/>
      <c r="X90" s="189"/>
      <c r="Y90" s="189"/>
      <c r="AA90" s="129"/>
      <c r="AB90" s="187"/>
      <c r="AC90" s="187"/>
      <c r="AD90" s="187"/>
      <c r="AE90" s="189"/>
      <c r="AF90" s="189"/>
      <c r="AG90" s="189"/>
      <c r="AI90" s="129"/>
      <c r="AJ90" s="187"/>
      <c r="AK90" s="187"/>
      <c r="AL90" s="187"/>
      <c r="AM90" s="189"/>
      <c r="AN90" s="189"/>
      <c r="AO90" s="189"/>
    </row>
    <row r="91" spans="1:41" ht="14.4" customHeight="1" x14ac:dyDescent="0.3">
      <c r="S91" s="129"/>
      <c r="T91" s="187"/>
      <c r="U91" s="187"/>
      <c r="V91" s="187"/>
      <c r="W91" s="189"/>
      <c r="X91" s="189"/>
      <c r="Y91" s="189"/>
      <c r="AA91" s="129"/>
      <c r="AB91" s="187"/>
      <c r="AC91" s="187"/>
      <c r="AD91" s="187"/>
      <c r="AE91" s="189"/>
      <c r="AF91" s="189"/>
      <c r="AG91" s="189"/>
      <c r="AI91" s="129"/>
      <c r="AJ91" s="187"/>
      <c r="AK91" s="187"/>
      <c r="AL91" s="187"/>
      <c r="AM91" s="189"/>
      <c r="AN91" s="189"/>
      <c r="AO91" s="189"/>
    </row>
    <row r="92" spans="1:41" ht="14.4" customHeight="1" x14ac:dyDescent="0.3">
      <c r="S92" s="129"/>
      <c r="T92" s="187"/>
      <c r="U92" s="187"/>
      <c r="V92" s="187"/>
      <c r="W92" s="189"/>
      <c r="X92" s="189"/>
      <c r="Y92" s="189"/>
      <c r="AA92" s="129"/>
      <c r="AB92" s="187"/>
      <c r="AC92" s="187"/>
      <c r="AD92" s="187"/>
      <c r="AE92" s="189"/>
      <c r="AF92" s="189"/>
      <c r="AG92" s="189"/>
      <c r="AI92" s="129"/>
      <c r="AJ92" s="187"/>
      <c r="AK92" s="187"/>
      <c r="AL92" s="187"/>
      <c r="AM92" s="189"/>
      <c r="AN92" s="189"/>
      <c r="AO92" s="189"/>
    </row>
    <row r="93" spans="1:41" ht="14.4" customHeight="1" x14ac:dyDescent="0.3">
      <c r="S93" s="129"/>
      <c r="T93" s="187"/>
      <c r="U93" s="187"/>
      <c r="V93" s="187"/>
      <c r="W93" s="189"/>
      <c r="X93" s="189"/>
      <c r="Y93" s="189"/>
      <c r="AA93" s="129"/>
      <c r="AB93" s="187"/>
      <c r="AC93" s="187"/>
      <c r="AD93" s="187"/>
      <c r="AE93" s="189"/>
      <c r="AF93" s="189"/>
      <c r="AG93" s="189"/>
      <c r="AI93" s="129"/>
      <c r="AJ93" s="187"/>
      <c r="AK93" s="187"/>
      <c r="AL93" s="187"/>
      <c r="AM93" s="189"/>
      <c r="AN93" s="189"/>
      <c r="AO93" s="189"/>
    </row>
    <row r="94" spans="1:41" ht="14.4" customHeight="1" x14ac:dyDescent="0.3">
      <c r="S94" s="129"/>
      <c r="T94" s="187"/>
      <c r="U94" s="187"/>
      <c r="V94" s="187"/>
      <c r="W94" s="189"/>
      <c r="X94" s="189"/>
      <c r="Y94" s="189"/>
      <c r="AA94" s="129"/>
      <c r="AB94" s="187"/>
      <c r="AC94" s="187"/>
      <c r="AD94" s="187"/>
      <c r="AE94" s="189"/>
      <c r="AF94" s="189"/>
      <c r="AG94" s="189"/>
      <c r="AI94" s="129"/>
      <c r="AJ94" s="187"/>
      <c r="AK94" s="187"/>
      <c r="AL94" s="187"/>
      <c r="AM94" s="189"/>
      <c r="AN94" s="189"/>
      <c r="AO94" s="189"/>
    </row>
    <row r="95" spans="1:41" ht="14.4" customHeight="1" x14ac:dyDescent="0.3">
      <c r="S95" s="129"/>
      <c r="T95" s="187"/>
      <c r="U95" s="187"/>
      <c r="V95" s="187"/>
      <c r="W95" s="189"/>
      <c r="X95" s="189"/>
      <c r="Y95" s="189"/>
      <c r="AA95" s="129"/>
      <c r="AB95" s="187"/>
      <c r="AC95" s="187"/>
      <c r="AD95" s="187"/>
      <c r="AE95" s="189"/>
      <c r="AF95" s="189"/>
      <c r="AG95" s="189"/>
      <c r="AI95" s="129"/>
      <c r="AJ95" s="187"/>
      <c r="AK95" s="187"/>
      <c r="AL95" s="187"/>
      <c r="AM95" s="189"/>
      <c r="AN95" s="189"/>
      <c r="AO95" s="189"/>
    </row>
    <row r="96" spans="1:41" ht="14.4" customHeight="1" x14ac:dyDescent="0.3">
      <c r="S96" s="129" t="s">
        <v>27</v>
      </c>
      <c r="T96" s="188" t="s">
        <v>279</v>
      </c>
      <c r="U96" s="188"/>
      <c r="V96" s="188"/>
      <c r="W96" s="190" t="s">
        <v>279</v>
      </c>
      <c r="X96" s="190"/>
      <c r="Y96" s="190"/>
      <c r="AA96" s="129" t="s">
        <v>27</v>
      </c>
      <c r="AB96" s="188" t="s">
        <v>279</v>
      </c>
      <c r="AC96" s="188"/>
      <c r="AD96" s="188"/>
      <c r="AE96" s="190" t="s">
        <v>279</v>
      </c>
      <c r="AF96" s="190"/>
      <c r="AG96" s="190"/>
      <c r="AI96" s="129" t="s">
        <v>27</v>
      </c>
      <c r="AJ96" s="188" t="s">
        <v>279</v>
      </c>
      <c r="AK96" s="188"/>
      <c r="AL96" s="188"/>
      <c r="AM96" s="190" t="s">
        <v>279</v>
      </c>
      <c r="AN96" s="190"/>
      <c r="AO96" s="190"/>
    </row>
    <row r="97" spans="19:41" ht="14.4" customHeight="1" x14ac:dyDescent="0.3">
      <c r="S97" s="129"/>
      <c r="T97" s="188"/>
      <c r="U97" s="188"/>
      <c r="V97" s="188"/>
      <c r="W97" s="190"/>
      <c r="X97" s="190"/>
      <c r="Y97" s="190"/>
      <c r="AA97" s="129"/>
      <c r="AB97" s="188"/>
      <c r="AC97" s="188"/>
      <c r="AD97" s="188"/>
      <c r="AE97" s="190"/>
      <c r="AF97" s="190"/>
      <c r="AG97" s="190"/>
      <c r="AI97" s="129"/>
      <c r="AJ97" s="188"/>
      <c r="AK97" s="188"/>
      <c r="AL97" s="188"/>
      <c r="AM97" s="190"/>
      <c r="AN97" s="190"/>
      <c r="AO97" s="190"/>
    </row>
    <row r="98" spans="19:41" ht="14.4" customHeight="1" x14ac:dyDescent="0.3">
      <c r="S98" s="129"/>
      <c r="T98" s="188"/>
      <c r="U98" s="188"/>
      <c r="V98" s="188"/>
      <c r="W98" s="190"/>
      <c r="X98" s="190"/>
      <c r="Y98" s="190"/>
      <c r="AA98" s="129"/>
      <c r="AB98" s="188"/>
      <c r="AC98" s="188"/>
      <c r="AD98" s="188"/>
      <c r="AE98" s="190"/>
      <c r="AF98" s="190"/>
      <c r="AG98" s="190"/>
      <c r="AI98" s="129"/>
      <c r="AJ98" s="188"/>
      <c r="AK98" s="188"/>
      <c r="AL98" s="188"/>
      <c r="AM98" s="190"/>
      <c r="AN98" s="190"/>
      <c r="AO98" s="190"/>
    </row>
    <row r="99" spans="19:41" ht="14.4" customHeight="1" x14ac:dyDescent="0.3">
      <c r="S99" s="129"/>
      <c r="T99" s="188"/>
      <c r="U99" s="188"/>
      <c r="V99" s="188"/>
      <c r="W99" s="190"/>
      <c r="X99" s="190"/>
      <c r="Y99" s="190"/>
      <c r="AA99" s="129"/>
      <c r="AB99" s="188"/>
      <c r="AC99" s="188"/>
      <c r="AD99" s="188"/>
      <c r="AE99" s="190"/>
      <c r="AF99" s="190"/>
      <c r="AG99" s="190"/>
      <c r="AI99" s="129"/>
      <c r="AJ99" s="188"/>
      <c r="AK99" s="188"/>
      <c r="AL99" s="188"/>
      <c r="AM99" s="190"/>
      <c r="AN99" s="190"/>
      <c r="AO99" s="190"/>
    </row>
    <row r="100" spans="19:41" ht="14.4" customHeight="1" x14ac:dyDescent="0.3">
      <c r="S100" s="129"/>
      <c r="T100" s="188"/>
      <c r="U100" s="188"/>
      <c r="V100" s="188"/>
      <c r="W100" s="190"/>
      <c r="X100" s="190"/>
      <c r="Y100" s="190"/>
      <c r="AA100" s="129"/>
      <c r="AB100" s="188"/>
      <c r="AC100" s="188"/>
      <c r="AD100" s="188"/>
      <c r="AE100" s="190"/>
      <c r="AF100" s="190"/>
      <c r="AG100" s="190"/>
      <c r="AI100" s="129"/>
      <c r="AJ100" s="188"/>
      <c r="AK100" s="188"/>
      <c r="AL100" s="188"/>
      <c r="AM100" s="190"/>
      <c r="AN100" s="190"/>
      <c r="AO100" s="190"/>
    </row>
    <row r="101" spans="19:41" ht="14.4" customHeight="1" x14ac:dyDescent="0.3">
      <c r="S101" s="129"/>
      <c r="T101" s="188"/>
      <c r="U101" s="188"/>
      <c r="V101" s="188"/>
      <c r="W101" s="190"/>
      <c r="X101" s="190"/>
      <c r="Y101" s="190"/>
      <c r="AA101" s="129"/>
      <c r="AB101" s="188"/>
      <c r="AC101" s="188"/>
      <c r="AD101" s="188"/>
      <c r="AE101" s="190"/>
      <c r="AF101" s="190"/>
      <c r="AG101" s="190"/>
      <c r="AI101" s="129"/>
      <c r="AJ101" s="188"/>
      <c r="AK101" s="188"/>
      <c r="AL101" s="188"/>
      <c r="AM101" s="190"/>
      <c r="AN101" s="190"/>
      <c r="AO101" s="190"/>
    </row>
    <row r="102" spans="19:41" ht="14.4" customHeight="1" x14ac:dyDescent="0.3">
      <c r="S102" s="129"/>
      <c r="T102" s="188"/>
      <c r="U102" s="188"/>
      <c r="V102" s="188"/>
      <c r="W102" s="190"/>
      <c r="X102" s="190"/>
      <c r="Y102" s="190"/>
      <c r="AA102" s="129"/>
      <c r="AB102" s="188"/>
      <c r="AC102" s="188"/>
      <c r="AD102" s="188"/>
      <c r="AE102" s="190"/>
      <c r="AF102" s="190"/>
      <c r="AG102" s="190"/>
      <c r="AI102" s="129"/>
      <c r="AJ102" s="188"/>
      <c r="AK102" s="188"/>
      <c r="AL102" s="188"/>
      <c r="AM102" s="190"/>
      <c r="AN102" s="190"/>
      <c r="AO102" s="190"/>
    </row>
    <row r="106" spans="19:41" ht="15.6" x14ac:dyDescent="0.3">
      <c r="AA106" s="186" t="s">
        <v>277</v>
      </c>
      <c r="AB106" s="186"/>
      <c r="AC106" s="186"/>
      <c r="AD106" s="186"/>
      <c r="AE106" s="186"/>
      <c r="AF106" s="186"/>
      <c r="AG106" s="186"/>
    </row>
    <row r="107" spans="19:41" x14ac:dyDescent="0.3">
      <c r="AB107" s="130" t="s">
        <v>42</v>
      </c>
      <c r="AC107" s="130"/>
      <c r="AD107" s="130"/>
      <c r="AE107" s="130" t="s">
        <v>41</v>
      </c>
      <c r="AF107" s="130"/>
      <c r="AG107" s="130"/>
    </row>
    <row r="108" spans="19:41" ht="14.4" customHeight="1" x14ac:dyDescent="0.3">
      <c r="AA108" s="129" t="s">
        <v>26</v>
      </c>
      <c r="AB108" s="187" t="s">
        <v>278</v>
      </c>
      <c r="AC108" s="187"/>
      <c r="AD108" s="187"/>
      <c r="AE108" s="191" t="s">
        <v>278</v>
      </c>
      <c r="AF108" s="191"/>
      <c r="AG108" s="191"/>
    </row>
    <row r="109" spans="19:41" ht="14.4" customHeight="1" x14ac:dyDescent="0.3">
      <c r="AA109" s="129"/>
      <c r="AB109" s="187"/>
      <c r="AC109" s="187"/>
      <c r="AD109" s="187"/>
      <c r="AE109" s="191"/>
      <c r="AF109" s="191"/>
      <c r="AG109" s="191"/>
    </row>
    <row r="110" spans="19:41" ht="14.4" customHeight="1" x14ac:dyDescent="0.3">
      <c r="AA110" s="129"/>
      <c r="AB110" s="187"/>
      <c r="AC110" s="187"/>
      <c r="AD110" s="187"/>
      <c r="AE110" s="191"/>
      <c r="AF110" s="191"/>
      <c r="AG110" s="191"/>
    </row>
    <row r="111" spans="19:41" ht="14.4" customHeight="1" x14ac:dyDescent="0.3">
      <c r="AA111" s="129"/>
      <c r="AB111" s="187"/>
      <c r="AC111" s="187"/>
      <c r="AD111" s="187"/>
      <c r="AE111" s="191"/>
      <c r="AF111" s="191"/>
      <c r="AG111" s="191"/>
    </row>
    <row r="112" spans="19:41" ht="14.4" customHeight="1" x14ac:dyDescent="0.3">
      <c r="AA112" s="129"/>
      <c r="AB112" s="187"/>
      <c r="AC112" s="187"/>
      <c r="AD112" s="187"/>
      <c r="AE112" s="191"/>
      <c r="AF112" s="191"/>
      <c r="AG112" s="191"/>
    </row>
    <row r="113" spans="27:33" ht="14.4" customHeight="1" x14ac:dyDescent="0.3">
      <c r="AA113" s="129"/>
      <c r="AB113" s="187"/>
      <c r="AC113" s="187"/>
      <c r="AD113" s="187"/>
      <c r="AE113" s="191"/>
      <c r="AF113" s="191"/>
      <c r="AG113" s="191"/>
    </row>
    <row r="114" spans="27:33" ht="14.4" customHeight="1" x14ac:dyDescent="0.3">
      <c r="AA114" s="129"/>
      <c r="AB114" s="187"/>
      <c r="AC114" s="187"/>
      <c r="AD114" s="187"/>
      <c r="AE114" s="191"/>
      <c r="AF114" s="191"/>
      <c r="AG114" s="191"/>
    </row>
    <row r="115" spans="27:33" ht="14.4" customHeight="1" x14ac:dyDescent="0.3">
      <c r="AA115" s="129" t="s">
        <v>27</v>
      </c>
      <c r="AB115" s="188" t="s">
        <v>278</v>
      </c>
      <c r="AC115" s="188"/>
      <c r="AD115" s="188"/>
      <c r="AE115" s="190" t="s">
        <v>278</v>
      </c>
      <c r="AF115" s="190"/>
      <c r="AG115" s="190"/>
    </row>
    <row r="116" spans="27:33" ht="14.4" customHeight="1" x14ac:dyDescent="0.3">
      <c r="AA116" s="129"/>
      <c r="AB116" s="188"/>
      <c r="AC116" s="188"/>
      <c r="AD116" s="188"/>
      <c r="AE116" s="190"/>
      <c r="AF116" s="190"/>
      <c r="AG116" s="190"/>
    </row>
    <row r="117" spans="27:33" ht="14.4" customHeight="1" x14ac:dyDescent="0.3">
      <c r="AA117" s="129"/>
      <c r="AB117" s="188"/>
      <c r="AC117" s="188"/>
      <c r="AD117" s="188"/>
      <c r="AE117" s="190"/>
      <c r="AF117" s="190"/>
      <c r="AG117" s="190"/>
    </row>
    <row r="118" spans="27:33" ht="14.4" customHeight="1" x14ac:dyDescent="0.3">
      <c r="AA118" s="129"/>
      <c r="AB118" s="188"/>
      <c r="AC118" s="188"/>
      <c r="AD118" s="188"/>
      <c r="AE118" s="190"/>
      <c r="AF118" s="190"/>
      <c r="AG118" s="190"/>
    </row>
    <row r="119" spans="27:33" ht="14.4" customHeight="1" x14ac:dyDescent="0.3">
      <c r="AA119" s="129"/>
      <c r="AB119" s="188"/>
      <c r="AC119" s="188"/>
      <c r="AD119" s="188"/>
      <c r="AE119" s="190"/>
      <c r="AF119" s="190"/>
      <c r="AG119" s="190"/>
    </row>
    <row r="120" spans="27:33" ht="14.4" customHeight="1" x14ac:dyDescent="0.3">
      <c r="AA120" s="129"/>
      <c r="AB120" s="188"/>
      <c r="AC120" s="188"/>
      <c r="AD120" s="188"/>
      <c r="AE120" s="190"/>
      <c r="AF120" s="190"/>
      <c r="AG120" s="190"/>
    </row>
    <row r="121" spans="27:33" ht="14.4" customHeight="1" x14ac:dyDescent="0.3">
      <c r="AA121" s="129"/>
      <c r="AB121" s="188"/>
      <c r="AC121" s="188"/>
      <c r="AD121" s="188"/>
      <c r="AE121" s="190"/>
      <c r="AF121" s="190"/>
      <c r="AG121" s="190"/>
    </row>
  </sheetData>
  <mergeCells count="240">
    <mergeCell ref="AA106:AG106"/>
    <mergeCell ref="AB107:AD107"/>
    <mergeCell ref="AE107:AG107"/>
    <mergeCell ref="AA108:AA114"/>
    <mergeCell ref="AB108:AD114"/>
    <mergeCell ref="AE108:AG114"/>
    <mergeCell ref="AA115:AA121"/>
    <mergeCell ref="AB115:AD121"/>
    <mergeCell ref="AE115:AG121"/>
    <mergeCell ref="AI87:AO87"/>
    <mergeCell ref="AJ88:AL88"/>
    <mergeCell ref="AM88:AO88"/>
    <mergeCell ref="AI89:AI95"/>
    <mergeCell ref="AJ89:AL95"/>
    <mergeCell ref="AM89:AO95"/>
    <mergeCell ref="AI96:AI102"/>
    <mergeCell ref="AJ96:AL102"/>
    <mergeCell ref="AM96:AO102"/>
    <mergeCell ref="AB88:AD88"/>
    <mergeCell ref="AE88:AG88"/>
    <mergeCell ref="AA89:AA95"/>
    <mergeCell ref="AB89:AD95"/>
    <mergeCell ref="AE89:AG95"/>
    <mergeCell ref="AA96:AA102"/>
    <mergeCell ref="AB96:AD102"/>
    <mergeCell ref="AE96:AG102"/>
    <mergeCell ref="S87:Y87"/>
    <mergeCell ref="AA87:AG87"/>
    <mergeCell ref="S89:S95"/>
    <mergeCell ref="S96:S102"/>
    <mergeCell ref="T88:V88"/>
    <mergeCell ref="T89:V95"/>
    <mergeCell ref="W88:Y88"/>
    <mergeCell ref="W89:Y95"/>
    <mergeCell ref="T96:V102"/>
    <mergeCell ref="W96:Y102"/>
    <mergeCell ref="Q42:S42"/>
    <mergeCell ref="A39:B40"/>
    <mergeCell ref="H73:I73"/>
    <mergeCell ref="J73:K73"/>
    <mergeCell ref="L73:M73"/>
    <mergeCell ref="N73:O73"/>
    <mergeCell ref="H74:I74"/>
    <mergeCell ref="J74:K74"/>
    <mergeCell ref="L74:M74"/>
    <mergeCell ref="N74:O74"/>
    <mergeCell ref="E39:G39"/>
    <mergeCell ref="E40:G40"/>
    <mergeCell ref="J39:K39"/>
    <mergeCell ref="N71:O71"/>
    <mergeCell ref="A44:B67"/>
    <mergeCell ref="N65:O65"/>
    <mergeCell ref="N66:O66"/>
    <mergeCell ref="N67:O67"/>
    <mergeCell ref="J65:K65"/>
    <mergeCell ref="J66:K66"/>
    <mergeCell ref="J67:K67"/>
    <mergeCell ref="L65:M65"/>
    <mergeCell ref="L66:M66"/>
    <mergeCell ref="L67:M67"/>
    <mergeCell ref="N42:O42"/>
    <mergeCell ref="H80:I80"/>
    <mergeCell ref="J80:K80"/>
    <mergeCell ref="L80:M80"/>
    <mergeCell ref="N80:O80"/>
    <mergeCell ref="H81:I81"/>
    <mergeCell ref="J81:K81"/>
    <mergeCell ref="L81:M81"/>
    <mergeCell ref="N81:O81"/>
    <mergeCell ref="A70:B81"/>
    <mergeCell ref="H77:I77"/>
    <mergeCell ref="J77:K77"/>
    <mergeCell ref="L77:M77"/>
    <mergeCell ref="N77:O77"/>
    <mergeCell ref="H78:I78"/>
    <mergeCell ref="J78:K78"/>
    <mergeCell ref="L78:M78"/>
    <mergeCell ref="N78:O78"/>
    <mergeCell ref="H70:I70"/>
    <mergeCell ref="J70:K70"/>
    <mergeCell ref="L70:M70"/>
    <mergeCell ref="N70:O70"/>
    <mergeCell ref="H71:I71"/>
    <mergeCell ref="J71:K71"/>
    <mergeCell ref="L71:M71"/>
    <mergeCell ref="E3:G3"/>
    <mergeCell ref="H3:K3"/>
    <mergeCell ref="L3:O3"/>
    <mergeCell ref="H38:I38"/>
    <mergeCell ref="J38:K38"/>
    <mergeCell ref="L38:M38"/>
    <mergeCell ref="N38:O38"/>
    <mergeCell ref="N63:O63"/>
    <mergeCell ref="N64:O64"/>
    <mergeCell ref="N57:O57"/>
    <mergeCell ref="N58:O58"/>
    <mergeCell ref="N59:O59"/>
    <mergeCell ref="N60:O60"/>
    <mergeCell ref="N61:O61"/>
    <mergeCell ref="L57:M57"/>
    <mergeCell ref="L58:M58"/>
    <mergeCell ref="L59:M59"/>
    <mergeCell ref="L60:M60"/>
    <mergeCell ref="L61:M61"/>
    <mergeCell ref="L63:M63"/>
    <mergeCell ref="L64:M64"/>
    <mergeCell ref="J59:K59"/>
    <mergeCell ref="J60:K60"/>
    <mergeCell ref="J61:K61"/>
    <mergeCell ref="J63:K63"/>
    <mergeCell ref="J64:K64"/>
    <mergeCell ref="L50:M50"/>
    <mergeCell ref="L51:M51"/>
    <mergeCell ref="L52:M52"/>
    <mergeCell ref="L53:M53"/>
    <mergeCell ref="L54:M54"/>
    <mergeCell ref="N50:O50"/>
    <mergeCell ref="N51:O51"/>
    <mergeCell ref="N52:O52"/>
    <mergeCell ref="N53:O53"/>
    <mergeCell ref="N54:O54"/>
    <mergeCell ref="N44:O44"/>
    <mergeCell ref="N45:O45"/>
    <mergeCell ref="N46:O46"/>
    <mergeCell ref="N47:O47"/>
    <mergeCell ref="N48:O48"/>
    <mergeCell ref="L44:M44"/>
    <mergeCell ref="L45:M45"/>
    <mergeCell ref="L46:M46"/>
    <mergeCell ref="L47:M47"/>
    <mergeCell ref="L48:M48"/>
    <mergeCell ref="H65:I65"/>
    <mergeCell ref="H66:I66"/>
    <mergeCell ref="H67:I67"/>
    <mergeCell ref="J40:K40"/>
    <mergeCell ref="J41:K41"/>
    <mergeCell ref="J44:K44"/>
    <mergeCell ref="J45:K45"/>
    <mergeCell ref="J46:K46"/>
    <mergeCell ref="J47:K47"/>
    <mergeCell ref="J48:K48"/>
    <mergeCell ref="J50:K50"/>
    <mergeCell ref="J51:K51"/>
    <mergeCell ref="J52:K52"/>
    <mergeCell ref="J53:K53"/>
    <mergeCell ref="J54:K54"/>
    <mergeCell ref="H59:I59"/>
    <mergeCell ref="H60:I60"/>
    <mergeCell ref="H61:I61"/>
    <mergeCell ref="H63:I63"/>
    <mergeCell ref="H64:I64"/>
    <mergeCell ref="H50:I50"/>
    <mergeCell ref="H51:I51"/>
    <mergeCell ref="H52:I52"/>
    <mergeCell ref="H57:I57"/>
    <mergeCell ref="L26:O26"/>
    <mergeCell ref="H39:I39"/>
    <mergeCell ref="H40:I40"/>
    <mergeCell ref="H41:I41"/>
    <mergeCell ref="L39:M39"/>
    <mergeCell ref="L40:M40"/>
    <mergeCell ref="L41:M41"/>
    <mergeCell ref="N39:O39"/>
    <mergeCell ref="N40:O40"/>
    <mergeCell ref="N41:O41"/>
    <mergeCell ref="L35:O35"/>
    <mergeCell ref="L27:O27"/>
    <mergeCell ref="L30:O30"/>
    <mergeCell ref="L31:O31"/>
    <mergeCell ref="L34:O34"/>
    <mergeCell ref="L16:O16"/>
    <mergeCell ref="L19:O19"/>
    <mergeCell ref="L20:O20"/>
    <mergeCell ref="L21:O21"/>
    <mergeCell ref="L22:O22"/>
    <mergeCell ref="L25:O25"/>
    <mergeCell ref="H6:K6"/>
    <mergeCell ref="H7:K7"/>
    <mergeCell ref="H8:K8"/>
    <mergeCell ref="H9:K9"/>
    <mergeCell ref="H10:K10"/>
    <mergeCell ref="H12:K12"/>
    <mergeCell ref="H13:K13"/>
    <mergeCell ref="L6:O6"/>
    <mergeCell ref="L7:O7"/>
    <mergeCell ref="L8:O8"/>
    <mergeCell ref="L9:O9"/>
    <mergeCell ref="L10:O10"/>
    <mergeCell ref="L12:O12"/>
    <mergeCell ref="L13:O13"/>
    <mergeCell ref="L14:O14"/>
    <mergeCell ref="L15:O15"/>
    <mergeCell ref="H14:K14"/>
    <mergeCell ref="H15:K15"/>
    <mergeCell ref="H16:K16"/>
    <mergeCell ref="H19:K19"/>
    <mergeCell ref="H20:K20"/>
    <mergeCell ref="H21:K21"/>
    <mergeCell ref="H22:K22"/>
    <mergeCell ref="H25:K25"/>
    <mergeCell ref="H26:K26"/>
    <mergeCell ref="E16:G16"/>
    <mergeCell ref="E19:G19"/>
    <mergeCell ref="E20:G20"/>
    <mergeCell ref="E21:G21"/>
    <mergeCell ref="E22:G22"/>
    <mergeCell ref="E25:G25"/>
    <mergeCell ref="H27:K27"/>
    <mergeCell ref="H30:K30"/>
    <mergeCell ref="H31:K31"/>
    <mergeCell ref="E6:G6"/>
    <mergeCell ref="E7:G7"/>
    <mergeCell ref="E8:G8"/>
    <mergeCell ref="E9:G9"/>
    <mergeCell ref="E10:G10"/>
    <mergeCell ref="E12:G12"/>
    <mergeCell ref="E13:G13"/>
    <mergeCell ref="E14:G14"/>
    <mergeCell ref="E15:G15"/>
    <mergeCell ref="H58:I58"/>
    <mergeCell ref="J57:K57"/>
    <mergeCell ref="J58:K58"/>
    <mergeCell ref="E35:G35"/>
    <mergeCell ref="E26:G26"/>
    <mergeCell ref="E27:G27"/>
    <mergeCell ref="E30:G30"/>
    <mergeCell ref="E31:G31"/>
    <mergeCell ref="E34:G34"/>
    <mergeCell ref="H34:K34"/>
    <mergeCell ref="H53:I53"/>
    <mergeCell ref="H54:I54"/>
    <mergeCell ref="H44:I44"/>
    <mergeCell ref="H45:I45"/>
    <mergeCell ref="H46:I46"/>
    <mergeCell ref="H47:I47"/>
    <mergeCell ref="H48:I48"/>
    <mergeCell ref="E36:G36"/>
    <mergeCell ref="J42:K42"/>
    <mergeCell ref="H35:K35"/>
    <mergeCell ref="E32:G32"/>
  </mergeCells>
  <pageMargins left="0.45" right="0.45" top="0.5" bottom="0.5" header="0.3" footer="0.3"/>
  <pageSetup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MARKETING</vt:lpstr>
      <vt:lpstr>CHANNEL WORKFLOW</vt:lpstr>
      <vt:lpstr>PRICING</vt:lpstr>
      <vt:lpstr>'CHANNEL WORKFLOW'!Print_Area</vt:lpstr>
      <vt:lpstr>PRICING!Print_Area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Fischer</dc:creator>
  <cp:lastModifiedBy>Eric Fischer</cp:lastModifiedBy>
  <cp:lastPrinted>2026-03-11T22:37:16Z</cp:lastPrinted>
  <dcterms:created xsi:type="dcterms:W3CDTF">2026-02-25T18:33:20Z</dcterms:created>
  <dcterms:modified xsi:type="dcterms:W3CDTF">2026-03-11T22:43:17Z</dcterms:modified>
</cp:coreProperties>
</file>